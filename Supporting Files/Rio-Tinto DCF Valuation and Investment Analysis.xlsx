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nameshselvan08/Downloads/"/>
    </mc:Choice>
  </mc:AlternateContent>
  <xr:revisionPtr revIDLastSave="0" documentId="13_ncr:1_{6358A055-3FC2-4342-9E2F-97ED377A2AA4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Summary Dashboard" sheetId="5" r:id="rId1"/>
    <sheet name="Historical Financials" sheetId="6" r:id="rId2"/>
    <sheet name="WACC Derivation" sheetId="7" r:id="rId3"/>
    <sheet name="DCF Model" sheetId="3" r:id="rId4"/>
    <sheet name="Scenario Manager" sheetId="2" r:id="rId5"/>
    <sheet name="Scenario Summary" sheetId="8" r:id="rId6"/>
    <sheet name="Goal Seek Analysis" sheetId="1" r:id="rId7"/>
  </sheets>
  <definedNames>
    <definedName name="WACC_TGR">'DCF Model'!$D$60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2" i="7" l="1"/>
  <c r="D24" i="7" s="1"/>
  <c r="D16" i="7"/>
  <c r="D10" i="7"/>
  <c r="H44" i="6"/>
  <c r="G44" i="6"/>
  <c r="F44" i="6"/>
  <c r="E44" i="6"/>
  <c r="H43" i="6"/>
  <c r="G43" i="6"/>
  <c r="F43" i="6"/>
  <c r="E43" i="6"/>
  <c r="H42" i="6"/>
  <c r="G42" i="6"/>
  <c r="F42" i="6"/>
  <c r="E42" i="6"/>
  <c r="H36" i="6"/>
  <c r="G36" i="6"/>
  <c r="F36" i="6"/>
  <c r="E36" i="6"/>
  <c r="D36" i="6"/>
  <c r="H35" i="6"/>
  <c r="G35" i="6"/>
  <c r="F35" i="6"/>
  <c r="E35" i="6"/>
  <c r="D35" i="6"/>
  <c r="H26" i="6"/>
  <c r="G26" i="6"/>
  <c r="F26" i="6"/>
  <c r="E26" i="6"/>
  <c r="D26" i="6"/>
  <c r="H14" i="6"/>
  <c r="G14" i="6"/>
  <c r="F14" i="6"/>
  <c r="E14" i="6"/>
  <c r="D14" i="6"/>
  <c r="H12" i="6"/>
  <c r="G12" i="6"/>
  <c r="F12" i="6"/>
  <c r="E12" i="6"/>
  <c r="D12" i="6"/>
  <c r="H10" i="6"/>
  <c r="G10" i="6"/>
  <c r="F10" i="6"/>
  <c r="E10" i="6"/>
  <c r="D10" i="6"/>
  <c r="I10" i="5"/>
  <c r="G10" i="5"/>
  <c r="H36" i="3"/>
  <c r="G36" i="3"/>
  <c r="F36" i="3"/>
  <c r="E36" i="3"/>
  <c r="D36" i="3"/>
  <c r="H31" i="3"/>
  <c r="G31" i="3"/>
  <c r="F31" i="3"/>
  <c r="E31" i="3"/>
  <c r="D31" i="3"/>
  <c r="H30" i="3"/>
  <c r="G30" i="3"/>
  <c r="F30" i="3"/>
  <c r="E30" i="3"/>
  <c r="D30" i="3"/>
  <c r="D21" i="3"/>
  <c r="E21" i="3" s="1"/>
  <c r="I31" i="3" l="1"/>
  <c r="I30" i="3"/>
  <c r="F21" i="3"/>
  <c r="G21" i="3" s="1"/>
  <c r="H21" i="3" s="1"/>
  <c r="I21" i="3"/>
  <c r="D22" i="3"/>
  <c r="D23" i="7"/>
  <c r="D28" i="7" s="1"/>
  <c r="D30" i="7" s="1"/>
  <c r="D26" i="3" l="1"/>
  <c r="E22" i="3"/>
  <c r="D27" i="3"/>
  <c r="D28" i="3" l="1"/>
  <c r="E26" i="3"/>
  <c r="F22" i="3"/>
  <c r="E27" i="3"/>
  <c r="E28" i="3" s="1"/>
  <c r="D29" i="3"/>
  <c r="E29" i="3" l="1"/>
  <c r="E32" i="3" s="1"/>
  <c r="E37" i="3" s="1"/>
  <c r="F26" i="3"/>
  <c r="G22" i="3"/>
  <c r="F27" i="3"/>
  <c r="D32" i="3"/>
  <c r="D37" i="3" l="1"/>
  <c r="F28" i="3"/>
  <c r="H22" i="3"/>
  <c r="G27" i="3"/>
  <c r="G28" i="3" s="1"/>
  <c r="G26" i="3"/>
  <c r="F29" i="3"/>
  <c r="G29" i="3" l="1"/>
  <c r="G32" i="3" s="1"/>
  <c r="G37" i="3" s="1"/>
  <c r="H27" i="3"/>
  <c r="H28" i="3" s="1"/>
  <c r="H26" i="3"/>
  <c r="I22" i="3"/>
  <c r="I27" i="3"/>
  <c r="F32" i="3"/>
  <c r="I28" i="3"/>
  <c r="F37" i="3" l="1"/>
  <c r="H29" i="3"/>
  <c r="I29" i="3" s="1"/>
  <c r="I26" i="3"/>
  <c r="H32" i="3" l="1"/>
  <c r="H37" i="3" s="1"/>
  <c r="I37" i="3" s="1"/>
  <c r="I32" i="3" l="1"/>
  <c r="D41" i="3"/>
  <c r="D42" i="3" s="1"/>
  <c r="D43" i="3" s="1"/>
  <c r="D47" i="3" s="1"/>
  <c r="D49" i="3" l="1"/>
  <c r="C10" i="5"/>
  <c r="D10" i="5" l="1"/>
  <c r="D51" i="3"/>
  <c r="D53" i="3" l="1"/>
  <c r="D60" i="3" s="1"/>
  <c r="E10" i="5"/>
  <c r="F10" i="5" l="1"/>
  <c r="D55" i="3"/>
  <c r="H10" i="5" l="1"/>
  <c r="D56" i="3"/>
  <c r="J10" i="5" l="1"/>
</calcChain>
</file>

<file path=xl/sharedStrings.xml><?xml version="1.0" encoding="utf-8"?>
<sst xmlns="http://schemas.openxmlformats.org/spreadsheetml/2006/main" count="409" uniqueCount="294">
  <si>
    <t>RIO TINTO — GOAL SEEK ANALYSIS</t>
  </si>
  <si>
    <t>GOAL SEEK QUESTIONS</t>
  </si>
  <si>
    <t>Goal Seek Question</t>
  </si>
  <si>
    <t>Set Cell</t>
  </si>
  <si>
    <t>By Changing Cell</t>
  </si>
  <si>
    <t>What WACC makes intrinsic value = market price?</t>
  </si>
  <si>
    <t>DCF Model: AUD share price</t>
  </si>
  <si>
    <t>179.79 (market)</t>
  </si>
  <si>
    <t>DCF Model: WACC cell (B6)</t>
  </si>
  <si>
    <t>What TGR makes intrinsic value = market price?</t>
  </si>
  <si>
    <t>DCF Model: TGR cell (B7)</t>
  </si>
  <si>
    <t>What revenue growth breaks the bull case?</t>
  </si>
  <si>
    <t>200.00 (bull)</t>
  </si>
  <si>
    <t>DCF Model: Revenue Yr1 Growth</t>
  </si>
  <si>
    <t>What EBITDA margin justifies current price?</t>
  </si>
  <si>
    <t>DCF Model: EBITDA Margin</t>
  </si>
  <si>
    <t>What net debt level tips to SELL signal?</t>
  </si>
  <si>
    <t>DCF Model: Recommendation</t>
  </si>
  <si>
    <t>SELL</t>
  </si>
  <si>
    <t>DCF Model: Net Debt cell</t>
  </si>
  <si>
    <t>BREAK-EVEN ANALYSIS (Pre-computed)</t>
  </si>
  <si>
    <t>Metric</t>
  </si>
  <si>
    <t>Break-Even Value</t>
  </si>
  <si>
    <t>Current Value</t>
  </si>
  <si>
    <t>Notes</t>
  </si>
  <si>
    <t>Break-even WACC (price = A$179.79)</t>
  </si>
  <si>
    <t>7.91%</t>
  </si>
  <si>
    <t>7.50% (base)</t>
  </si>
  <si>
    <t>WACC above this → SELL signal</t>
  </si>
  <si>
    <t>Break-even TGR (price = A$179.79)</t>
  </si>
  <si>
    <t>1.99%</t>
  </si>
  <si>
    <t>2.50% (base)</t>
  </si>
  <si>
    <t>TGR below this → SELL signal</t>
  </si>
  <si>
    <t>Break-even iron ore price (approx)</t>
  </si>
  <si>
    <t>~$88/t CFR</t>
  </si>
  <si>
    <t>~$95/t CFR</t>
  </si>
  <si>
    <t>Approx. based on FY2025 sensitivity</t>
  </si>
  <si>
    <t>Minimum EBITDA margin for HOLD</t>
  </si>
  <si>
    <t>~42.0%</t>
  </si>
  <si>
    <t>44.5% (base)</t>
  </si>
  <si>
    <t>Margin below this → SELL signal at base WACC</t>
  </si>
  <si>
    <t>RIO TINTO — SCENARIO ANALYSIS (Replicates Excel Scenario Manager Output)</t>
  </si>
  <si>
    <t>Assumption</t>
  </si>
  <si>
    <t>Bear Case</t>
  </si>
  <si>
    <t>Base Case</t>
  </si>
  <si>
    <t>Bull Case</t>
  </si>
  <si>
    <t>WACC</t>
  </si>
  <si>
    <t>Terminal Growth Rate</t>
  </si>
  <si>
    <t>EBITDA Margin</t>
  </si>
  <si>
    <t>Revenue Growth Yr1</t>
  </si>
  <si>
    <t>Net Debt ($m)</t>
  </si>
  <si>
    <t>SCENARIO OUTPUTS (calculated using DCF assumptions above)</t>
  </si>
  <si>
    <t>Output Metric</t>
  </si>
  <si>
    <t>Enterprise Value (USD $bn)</t>
  </si>
  <si>
    <t>PV of FCFFs + PV Terminal Value</t>
  </si>
  <si>
    <t>Equity Value per Share (AUD)</t>
  </si>
  <si>
    <t>After net debt deduction and FX conversion</t>
  </si>
  <si>
    <t>vs Market Price (A$179.79)</t>
  </si>
  <si>
    <t>(Intrinsic − Market) / Market</t>
  </si>
  <si>
    <t>Recommendation</t>
  </si>
  <si>
    <t>BUY</t>
  </si>
  <si>
    <t>BUY &gt;+8%, SELL &lt;-8%, HOLD otherwise</t>
  </si>
  <si>
    <t>Implied P/E (x)</t>
  </si>
  <si>
    <t>Market cap implied / normalised earnings</t>
  </si>
  <si>
    <t>Implied EV/EBITDA (x)</t>
  </si>
  <si>
    <t>Implied EV / FY2025 normalised EBITDA</t>
  </si>
  <si>
    <t>QUALITATIVE SCENARIO DRIVERS</t>
  </si>
  <si>
    <t>Driver</t>
  </si>
  <si>
    <t>Iron ore price</t>
  </si>
  <si>
    <t>↓ -15%, property slump</t>
  </si>
  <si>
    <t>Stable ~$95/t CFR</t>
  </si>
  <si>
    <t>↑ +10%, India demand</t>
  </si>
  <si>
    <t>Copper production</t>
  </si>
  <si>
    <t>Oyu Tolgoi delays</t>
  </si>
  <si>
    <t>On-track ramp-up</t>
  </si>
  <si>
    <t>Ahead of schedule</t>
  </si>
  <si>
    <t>CapEx delivery</t>
  </si>
  <si>
    <t>10% cost overrun</t>
  </si>
  <si>
    <t>On budget</t>
  </si>
  <si>
    <t>Under budget</t>
  </si>
  <si>
    <t>China demand</t>
  </si>
  <si>
    <t>Structural decline</t>
  </si>
  <si>
    <t>Moderate growth</t>
  </si>
  <si>
    <t>Infrastructure stimulus</t>
  </si>
  <si>
    <t>AUD/USD</t>
  </si>
  <si>
    <t>↑ to 0.70 (cost ↑)</t>
  </si>
  <si>
    <t>Stable ~0.645</t>
  </si>
  <si>
    <t>↓ to 0.60 (cost ↓)</t>
  </si>
  <si>
    <t>Simandou ramp</t>
  </si>
  <si>
    <t>Delayed by 2+ years</t>
  </si>
  <si>
    <t>On schedule</t>
  </si>
  <si>
    <t>Early production 2026</t>
  </si>
  <si>
    <t>RIO TINTO GROUP — DCF VALUATION MODEL (USD $m)</t>
  </si>
  <si>
    <t>Value</t>
  </si>
  <si>
    <t>WACC (base case)</t>
  </si>
  <si>
    <t>Terminal Growth Rate (TGR)</t>
  </si>
  <si>
    <t>5-yr avg 47.7%; set conservatively at trough level</t>
  </si>
  <si>
    <t>EBIT Margin</t>
  </si>
  <si>
    <t>Consistent with FY2023-FY2025 reported margins</t>
  </si>
  <si>
    <t>Effective Tax Rate</t>
  </si>
  <si>
    <t>Blended effective rate based on 5-year average</t>
  </si>
  <si>
    <t>D&amp;A as % of Revenue</t>
  </si>
  <si>
    <t>FY2025: (EBITDA-EBIT)/Revenue = 18.45%</t>
  </si>
  <si>
    <t>CapEx Base (FY2025 $m)</t>
  </si>
  <si>
    <t>Source: Rio Tinto FY2025 Full Year Results</t>
  </si>
  <si>
    <t>CapEx Growth Rate p.a.</t>
  </si>
  <si>
    <t>Moderate tapering from FY2025 record spend</t>
  </si>
  <si>
    <t>Revenue Yr1 Growth</t>
  </si>
  <si>
    <t>Based on FY2025 rebound trajectory</t>
  </si>
  <si>
    <t>WC Change p.a. ($m)</t>
  </si>
  <si>
    <t>Conservative working capital build</t>
  </si>
  <si>
    <t>REVENUE FORECAST</t>
  </si>
  <si>
    <t>FY2026</t>
  </si>
  <si>
    <t>FY2027</t>
  </si>
  <si>
    <t>FY2028</t>
  </si>
  <si>
    <t>FY2029</t>
  </si>
  <si>
    <t>FY2030</t>
  </si>
  <si>
    <t>5-Yr Avg / Total</t>
  </si>
  <si>
    <t>Revenue Growth %</t>
  </si>
  <si>
    <t>Yr1 from assumption; tapering toward long-run CAGR</t>
  </si>
  <si>
    <t>Revenue ($m)</t>
  </si>
  <si>
    <t>Links to FY2025 actual revenue ($57,638m)</t>
  </si>
  <si>
    <t>FREE CASH FLOW TO FIRM (FCFF) BUILD</t>
  </si>
  <si>
    <t>5-Yr Total</t>
  </si>
  <si>
    <t>Formula / Notes</t>
  </si>
  <si>
    <t>EBITDA ($m)</t>
  </si>
  <si>
    <t xml:space="preserve"> Revenue x EBITDA Margin</t>
  </si>
  <si>
    <t>EBIT ($m)</t>
  </si>
  <si>
    <t xml:space="preserve"> Revenue x EBIT Margin</t>
  </si>
  <si>
    <t>NOPAT = EBIT × (1−Tax)</t>
  </si>
  <si>
    <t>Net Operating Profit After Tax</t>
  </si>
  <si>
    <t>Add: D&amp;A ($m)</t>
  </si>
  <si>
    <t>EBITDA minus EBIT</t>
  </si>
  <si>
    <t>Less: CapEx ($m)</t>
  </si>
  <si>
    <t>Base CapEx x (1+g)^year</t>
  </si>
  <si>
    <t>Less: ΔWorking Capital ($m)</t>
  </si>
  <si>
    <t>FCFF ($m)</t>
  </si>
  <si>
    <t>NOPAT + DA minus CapEx minus DeltaWC</t>
  </si>
  <si>
    <t>DCF CALCULATION</t>
  </si>
  <si>
    <t>TOTAL</t>
  </si>
  <si>
    <t>Discount Factor  1/(1+WACC)^t</t>
  </si>
  <si>
    <t>Uses WACC from Key Assumptions cell</t>
  </si>
  <si>
    <t>PV of FCFF ($m)</t>
  </si>
  <si>
    <t>FCFF x Discount Factor</t>
  </si>
  <si>
    <t>TERMINAL VALUE (Gordon Growth Model)</t>
  </si>
  <si>
    <t>Terminal Year FCFF (FY2031)</t>
  </si>
  <si>
    <t>FY2030 FCFF × (1 + TGR)</t>
  </si>
  <si>
    <t>Terminal Value  TV = FCFF₂₀₃₁ / (WACC−TGR)</t>
  </si>
  <si>
    <t>Gordon Growth Model</t>
  </si>
  <si>
    <t>PV of Terminal Value</t>
  </si>
  <si>
    <t>Discounted at WACC over 5 years</t>
  </si>
  <si>
    <t>ENTERPRISE VALUE &amp; EQUITY BRIDGE</t>
  </si>
  <si>
    <t>Enterprise Value  (EV = PV FCFF + PV TV)</t>
  </si>
  <si>
    <t>Sum of PV of FCFFs + PV of Terminal Value</t>
  </si>
  <si>
    <t>Less: Net Debt (FY2025)</t>
  </si>
  <si>
    <t>Source: Rio Tinto FY2025 Full Year Results (SEC EDGAR 6-K, 19 Feb 2026). Corrected from $14,400m.</t>
  </si>
  <si>
    <t>Equity Value ($m)</t>
  </si>
  <si>
    <t>EV minus net debt</t>
  </si>
  <si>
    <t>Shares on Issue (millions)</t>
  </si>
  <si>
    <t>Derived: FY2025 net earnings $9,966m ÷ net EPS 613.7c = 1,623m</t>
  </si>
  <si>
    <t>Intrinsic Value per Share (USD)</t>
  </si>
  <si>
    <t>Equity value ÷ shares on issue</t>
  </si>
  <si>
    <t>AUD/USD Exchange Rate</t>
  </si>
  <si>
    <t>Intrinsic Value per Share (AUD)</t>
  </si>
  <si>
    <t>USD intrinsic value ÷ AUD/USD rate</t>
  </si>
  <si>
    <t>Market Price (ASX: RIO, AUD)</t>
  </si>
  <si>
    <t>As at May 2026 (Investing.com). Update to current price.</t>
  </si>
  <si>
    <t>Upside / (Downside) to Market Price</t>
  </si>
  <si>
    <t>All outputs link dynamically to DCF Model sheet. Change WACC or TGR in DCF Model and this dashboard updates automatically.</t>
  </si>
  <si>
    <t>VALUATION SUMMARY</t>
  </si>
  <si>
    <t>Enterprise Value</t>
  </si>
  <si>
    <t>Equity Value</t>
  </si>
  <si>
    <t>Intrinsic Value (USD)</t>
  </si>
  <si>
    <t>Intrinsic Value (AUD)</t>
  </si>
  <si>
    <t>Market Price</t>
  </si>
  <si>
    <t>Upside / (Downside)</t>
  </si>
  <si>
    <t>USD $m</t>
  </si>
  <si>
    <t>per share</t>
  </si>
  <si>
    <t>vs market</t>
  </si>
  <si>
    <t>discount rate</t>
  </si>
  <si>
    <t>BUY/HOLD/SELL</t>
  </si>
  <si>
    <t>5-YEAR FINANCIAL SNAPSHOT (USD $m)</t>
  </si>
  <si>
    <t>FY2021</t>
  </si>
  <si>
    <t>FY2022</t>
  </si>
  <si>
    <t>FY2023</t>
  </si>
  <si>
    <t>FY2024</t>
  </si>
  <si>
    <t>FY2025</t>
  </si>
  <si>
    <t>Trend</t>
  </si>
  <si>
    <t>Revenue</t>
  </si>
  <si>
    <t>↑</t>
  </si>
  <si>
    <t>Underlying EBITDA</t>
  </si>
  <si>
    <t>Net Earnings</t>
  </si>
  <si>
    <t>↓</t>
  </si>
  <si>
    <t>Free Cash Flow</t>
  </si>
  <si>
    <t>Net Debt/(Cash)</t>
  </si>
  <si>
    <t>SCENARIO COMPARISON (AUD per share)</t>
  </si>
  <si>
    <t>Scenario</t>
  </si>
  <si>
    <t>Intrinsic Value</t>
  </si>
  <si>
    <t>vs Market</t>
  </si>
  <si>
    <t>Key Assumption</t>
  </si>
  <si>
    <t>WACC 8.68%, TGR 1.5%, EBITDA 40%</t>
  </si>
  <si>
    <t>WACC 7.50%, TGR 2.5%, EBITDA 44.5%</t>
  </si>
  <si>
    <t>WACC 6.50%, TGR 3.0%, EBITDA 47%</t>
  </si>
  <si>
    <t>RIO TINTO GROUP — HISTORICAL FINANCIALS (USD $m)</t>
  </si>
  <si>
    <t>INCOME STATEMENT</t>
  </si>
  <si>
    <t>Source / Notes</t>
  </si>
  <si>
    <t>Rio Tinto 2025 Full Year Results, SEC EDGAR 6-K 19 Feb 2026</t>
  </si>
  <si>
    <t>Rio Tinto Full Year Results FY2021-FY2025</t>
  </si>
  <si>
    <t xml:space="preserve">  EBITDA Margin %</t>
  </si>
  <si>
    <t>underlying ebitda / revenue</t>
  </si>
  <si>
    <t>Underlying EBIT</t>
  </si>
  <si>
    <t xml:space="preserve">  EBIT Margin %</t>
  </si>
  <si>
    <t>underlying ebit / revenue</t>
  </si>
  <si>
    <t>Net Earnings (attrib)</t>
  </si>
  <si>
    <t>Rio Tinto Full Year Results. FY2022: $12,392m official; $12,420m as reported in some sources</t>
  </si>
  <si>
    <t xml:space="preserve">  Net Margin %</t>
  </si>
  <si>
    <t>net earnings / revenue</t>
  </si>
  <si>
    <t>Underlying Earnings</t>
  </si>
  <si>
    <t>Net EPS (US cents)</t>
  </si>
  <si>
    <t>Net EPS (not underlying EPS). FY2021 underlying EPS = 1,321c</t>
  </si>
  <si>
    <t>DPS (US cents)</t>
  </si>
  <si>
    <t>CASH FLOW STATEMENT</t>
  </si>
  <si>
    <t>Operating Cash Flow (OCF)</t>
  </si>
  <si>
    <t>Capital Expenditure (CapEx)</t>
  </si>
  <si>
    <t>Free Cash Flow (FCF)</t>
  </si>
  <si>
    <t>Dividends Paid</t>
  </si>
  <si>
    <t xml:space="preserve">  FCF Conversion %</t>
  </si>
  <si>
    <t>BALANCE SHEET</t>
  </si>
  <si>
    <t>Total Assets</t>
  </si>
  <si>
    <t>Total Equity (incl. NCI)</t>
  </si>
  <si>
    <t>Total Debt (borrowings+leases)</t>
  </si>
  <si>
    <t>Net Debt / (Net Cash)</t>
  </si>
  <si>
    <t xml:space="preserve">  Net Debt / EBITDA</t>
  </si>
  <si>
    <t xml:space="preserve">  Equity Ratio %</t>
  </si>
  <si>
    <t>KEY RATIOS</t>
  </si>
  <si>
    <t>ROCE %</t>
  </si>
  <si>
    <t>Revenue Growth</t>
  </si>
  <si>
    <t>EBITDA Growth</t>
  </si>
  <si>
    <t>FCF Growth</t>
  </si>
  <si>
    <t>RIO TINTO GROUP — WACC DERIVATION</t>
  </si>
  <si>
    <t>A. COST OF EQUITY — CAPM:   Ke = Rf + β × (Rm − Rf)</t>
  </si>
  <si>
    <t>Component</t>
  </si>
  <si>
    <t>Basis / Source</t>
  </si>
  <si>
    <t>Risk-free rate (Rf)</t>
  </si>
  <si>
    <t>Australia 10-yr Commonwealth Govt Bond yield, June 2026 (tradingeconomics.com)</t>
  </si>
  <si>
    <t>Equity Risk Premium (ERP)</t>
  </si>
  <si>
    <t>Long-run Australian ERP; Damodaran (2026) country risk estimate</t>
  </si>
  <si>
    <t>Beta (β)</t>
  </si>
  <si>
    <t>Mining sector beta; commodity cycle exposure offset by diversification</t>
  </si>
  <si>
    <t>Cost of Equity  (Ke = Rf + β × ERP)</t>
  </si>
  <si>
    <t>CAPM formula</t>
  </si>
  <si>
    <t>B. COST OF DEBT:   Kd (after-tax) = Pre-tax Kd × (1 − Tax Rate)</t>
  </si>
  <si>
    <t>Pre-tax cost of debt</t>
  </si>
  <si>
    <t>Single-A rated; based on reported borrowing costs &amp; credit spreads</t>
  </si>
  <si>
    <t>Corporate tax rate</t>
  </si>
  <si>
    <t>Australian corporate tax rate</t>
  </si>
  <si>
    <t>After-tax cost of debt  (Kd)</t>
  </si>
  <si>
    <t>C. CAPITAL STRUCTURE WEIGHTS (FY2025 Balance Sheet)</t>
  </si>
  <si>
    <t>Value (USD $m)</t>
  </si>
  <si>
    <t>Total equity (incl. NCI)</t>
  </si>
  <si>
    <t>FY2025 balance sheet (Historical Financials sheet)</t>
  </si>
  <si>
    <t>Total debt (borrowings + leases)</t>
  </si>
  <si>
    <t>FY2025: current + non-current borrowings and lease liabilities</t>
  </si>
  <si>
    <t>Total capital (E + D)</t>
  </si>
  <si>
    <t>Weight of equity (E/V)</t>
  </si>
  <si>
    <t>Weight of debt (D/V)</t>
  </si>
  <si>
    <t>D. WACC CALCULATION:   WACC = (E/V × Ke) + (D/V × Kd)</t>
  </si>
  <si>
    <t>WACC (formula-derived)</t>
  </si>
  <si>
    <t>Full CAPM-derived WACC using balance sheet weights</t>
  </si>
  <si>
    <t>WACC — BASE CASE (used in DCF)</t>
  </si>
  <si>
    <t>Adjusted downward vs formula rate: reflects first-quartile cost position &amp; operating resilience</t>
  </si>
  <si>
    <t>Conservatism buffer</t>
  </si>
  <si>
    <t>Difference between formula WACC and base-case WACC</t>
  </si>
  <si>
    <t>Created by janvi malhotra on 4/06/2026</t>
  </si>
  <si>
    <t>Scenario Summary</t>
  </si>
  <si>
    <t>Changing Cells:</t>
  </si>
  <si>
    <t>Result Cells:</t>
  </si>
  <si>
    <t>Senstivity Analysis</t>
  </si>
  <si>
    <t>WACC/TGR</t>
  </si>
  <si>
    <t>AUD Share Price</t>
  </si>
  <si>
    <t>Upside/(Downside)</t>
  </si>
  <si>
    <t>ASX: RIO
Investing.com (22 May 2026)</t>
  </si>
  <si>
    <t>Particulars</t>
  </si>
  <si>
    <t>Particulars (USD $m)</t>
  </si>
  <si>
    <t xml:space="preserve">Source: Rio Tinto Full Year Results FY2021–FY2025 </t>
  </si>
  <si>
    <t>Approximate June 2026 spot rate
Source: Investing.com (May 2026)</t>
  </si>
  <si>
    <t>Notes:  Current Values column represents values of changing cells at time Scenario Summary Report was created.  Changing cells for each scenario are highlighted in gray.</t>
  </si>
  <si>
    <t>Current Values</t>
  </si>
  <si>
    <t>IF(upside&gt;8.1%,"BUY", IF(downside&lt;-8.1%,"SELL","HOLD"))</t>
  </si>
  <si>
    <t xml:space="preserve">KEY ASSUMPTIONS  </t>
  </si>
  <si>
    <t>Year</t>
  </si>
  <si>
    <t>EBITDA</t>
  </si>
  <si>
    <t>Rio Tinto Revenue and EBITDA Trend</t>
  </si>
  <si>
    <r>
      <rPr>
        <b/>
        <sz val="14"/>
        <color rgb="FFFFFFFF"/>
        <rFont val="Calibri"/>
        <family val="2"/>
      </rPr>
      <t>Rio Tinto - INVESTMENT SUMMARY DASHBOARD</t>
    </r>
    <r>
      <rPr>
        <b/>
        <sz val="11"/>
        <color rgb="FFFFFFFF"/>
        <rFont val="Calibri"/>
        <family val="2"/>
      </rPr>
      <t xml:space="preserve">
</t>
    </r>
    <r>
      <rPr>
        <b/>
        <sz val="10"/>
        <color rgb="FFFFFFFF"/>
        <rFont val="Calibri"/>
        <family val="2"/>
      </rPr>
      <t>Valuation Date: June 2026
Base Case Assumptions: WACC 7.5% | TGR 2.5%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</si>
</sst>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%;\(0.0%\);\-"/>
    <numFmt numFmtId="165" formatCode="#,##0;\(#,##0\);\-"/>
    <numFmt numFmtId="166" formatCode="#,##0.0&quot;bn&quot;"/>
    <numFmt numFmtId="167" formatCode="&quot;A$&quot;#,##0.00"/>
    <numFmt numFmtId="168" formatCode="0.0%;\(0.0%\)"/>
    <numFmt numFmtId="169" formatCode="0.0\x"/>
    <numFmt numFmtId="170" formatCode="0.0000"/>
    <numFmt numFmtId="171" formatCode="\$#,##0.00"/>
    <numFmt numFmtId="172" formatCode="0.000"/>
    <numFmt numFmtId="173" formatCode="&quot;A$&quot;#,##0.00;&quot;(A$&quot;#,##0.00\);\-"/>
    <numFmt numFmtId="174" formatCode="0.0%"/>
    <numFmt numFmtId="175" formatCode="&quot;$&quot;#,##0.00"/>
  </numFmts>
  <fonts count="2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888888"/>
      <name val="Calibri"/>
      <family val="2"/>
    </font>
    <font>
      <sz val="11"/>
      <color rgb="FF000000"/>
      <name val="Calibri"/>
      <family val="2"/>
    </font>
    <font>
      <b/>
      <sz val="11"/>
      <color rgb="FF276221"/>
      <name val="Calibri"/>
      <family val="2"/>
    </font>
    <font>
      <b/>
      <sz val="11"/>
      <color rgb="FFA32D2D"/>
      <name val="Calibri"/>
      <family val="2"/>
    </font>
    <font>
      <b/>
      <sz val="14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rgb="FF00B050"/>
      <name val="Calibri"/>
      <family val="2"/>
    </font>
    <font>
      <i/>
      <sz val="11"/>
      <color rgb="FF888888"/>
      <name val="Calibri"/>
      <family val="2"/>
    </font>
    <font>
      <sz val="11"/>
      <color theme="1" tint="0.499984740745262"/>
      <name val="Calibri"/>
      <family val="2"/>
    </font>
    <font>
      <i/>
      <sz val="11"/>
      <color theme="1" tint="0.499984740745262"/>
      <name val="Calibri"/>
      <family val="2"/>
    </font>
    <font>
      <sz val="11"/>
      <color theme="6" tint="-0.499984740745262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b/>
      <sz val="14"/>
      <color theme="0"/>
      <name val="Calibri"/>
      <family val="2"/>
    </font>
    <font>
      <b/>
      <sz val="11"/>
      <color indexed="9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F4E79"/>
        <bgColor rgb="FF185FA5"/>
      </patternFill>
    </fill>
    <fill>
      <patternFill patternType="solid">
        <fgColor indexed="22"/>
        <bgColor indexed="24"/>
      </patternFill>
    </fill>
    <fill>
      <patternFill patternType="solid">
        <fgColor theme="0"/>
        <bgColor indexed="24"/>
      </patternFill>
    </fill>
    <fill>
      <patternFill patternType="solid">
        <fgColor theme="0"/>
        <bgColor rgb="FF185FA5"/>
      </patternFill>
    </fill>
    <fill>
      <patternFill patternType="solid">
        <fgColor theme="3" tint="-0.249977111117893"/>
        <bgColor rgb="FF185FA5"/>
      </patternFill>
    </fill>
    <fill>
      <patternFill patternType="solid">
        <fgColor theme="3" tint="0.39997558519241921"/>
        <bgColor rgb="FF185FA5"/>
      </patternFill>
    </fill>
    <fill>
      <patternFill patternType="solid">
        <fgColor theme="0"/>
        <bgColor rgb="FFE2EFDA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185FA5"/>
      </patternFill>
    </fill>
    <fill>
      <patternFill patternType="solid">
        <fgColor theme="0"/>
        <bgColor rgb="FFCCCCCC"/>
      </patternFill>
    </fill>
    <fill>
      <patternFill patternType="solid">
        <fgColor theme="0"/>
        <bgColor rgb="FFDEEAF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24"/>
      </patternFill>
    </fill>
    <fill>
      <patternFill patternType="solid">
        <fgColor theme="3" tint="0.39997558519241921"/>
        <bgColor indexed="24"/>
      </patternFill>
    </fill>
    <fill>
      <patternFill patternType="solid">
        <fgColor theme="3" tint="0.59999389629810485"/>
        <bgColor indexed="24"/>
      </patternFill>
    </fill>
    <fill>
      <patternFill patternType="solid">
        <fgColor theme="0"/>
        <bgColor indexed="7"/>
      </patternFill>
    </fill>
  </fills>
  <borders count="8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theme="1"/>
      </right>
      <top style="thin">
        <color rgb="FFCCCCCC"/>
      </top>
      <bottom style="thin">
        <color rgb="FFCCCCCC"/>
      </bottom>
      <diagonal/>
    </border>
    <border>
      <left style="medium">
        <color theme="1"/>
      </left>
      <right style="thin">
        <color rgb="FFCCCCCC"/>
      </right>
      <top style="thin">
        <color rgb="FFCCCCCC"/>
      </top>
      <bottom style="medium">
        <color theme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theme="1"/>
      </bottom>
      <diagonal/>
    </border>
    <border>
      <left style="thin">
        <color rgb="FFCCCCCC"/>
      </left>
      <right style="medium">
        <color theme="1"/>
      </right>
      <top style="thin">
        <color rgb="FFCCCCCC"/>
      </top>
      <bottom style="medium">
        <color theme="1"/>
      </bottom>
      <diagonal/>
    </border>
    <border>
      <left style="medium">
        <color theme="1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medium">
        <color theme="1"/>
      </right>
      <top/>
      <bottom style="thin">
        <color rgb="FFCCCCCC"/>
      </bottom>
      <diagonal/>
    </border>
    <border>
      <left style="medium">
        <color theme="1"/>
      </left>
      <right style="thin">
        <color rgb="FFCCCCCC"/>
      </right>
      <top style="medium">
        <color theme="1"/>
      </top>
      <bottom style="medium">
        <color theme="1"/>
      </bottom>
      <diagonal/>
    </border>
    <border>
      <left style="thin">
        <color rgb="FFCCCCCC"/>
      </left>
      <right style="thin">
        <color rgb="FFCCCCCC"/>
      </right>
      <top style="medium">
        <color theme="1"/>
      </top>
      <bottom style="medium">
        <color theme="1"/>
      </bottom>
      <diagonal/>
    </border>
    <border>
      <left style="thin">
        <color rgb="FFCCCCCC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medium">
        <color indexed="64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377">
    <xf numFmtId="0" fontId="0" fillId="0" borderId="0" xfId="0"/>
    <xf numFmtId="0" fontId="4" fillId="0" borderId="0" xfId="0" applyFont="1"/>
    <xf numFmtId="0" fontId="4" fillId="0" borderId="18" xfId="0" applyFont="1" applyBorder="1"/>
    <xf numFmtId="0" fontId="4" fillId="0" borderId="19" xfId="0" applyFont="1" applyBorder="1"/>
    <xf numFmtId="0" fontId="4" fillId="0" borderId="3" xfId="0" applyFont="1" applyBorder="1"/>
    <xf numFmtId="0" fontId="4" fillId="0" borderId="20" xfId="0" applyFont="1" applyBorder="1"/>
    <xf numFmtId="0" fontId="5" fillId="5" borderId="0" xfId="0" applyFont="1" applyFill="1" applyAlignment="1">
      <alignment vertical="center"/>
    </xf>
    <xf numFmtId="165" fontId="2" fillId="8" borderId="10" xfId="0" applyNumberFormat="1" applyFont="1" applyFill="1" applyBorder="1" applyAlignment="1">
      <alignment horizontal="center" vertical="center"/>
    </xf>
    <xf numFmtId="165" fontId="2" fillId="8" borderId="11" xfId="0" applyNumberFormat="1" applyFont="1" applyFill="1" applyBorder="1" applyAlignment="1">
      <alignment horizontal="center" vertical="center"/>
    </xf>
    <xf numFmtId="171" fontId="2" fillId="8" borderId="11" xfId="0" applyNumberFormat="1" applyFont="1" applyFill="1" applyBorder="1" applyAlignment="1">
      <alignment horizontal="center" vertical="center"/>
    </xf>
    <xf numFmtId="173" fontId="2" fillId="8" borderId="11" xfId="0" applyNumberFormat="1" applyFont="1" applyFill="1" applyBorder="1" applyAlignment="1">
      <alignment horizontal="center" vertical="center"/>
    </xf>
    <xf numFmtId="164" fontId="2" fillId="8" borderId="11" xfId="0" applyNumberFormat="1" applyFont="1" applyFill="1" applyBorder="1" applyAlignment="1">
      <alignment horizontal="center" vertical="center"/>
    </xf>
    <xf numFmtId="49" fontId="2" fillId="8" borderId="12" xfId="0" applyNumberFormat="1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14" xfId="0" applyFont="1" applyFill="1" applyBorder="1" applyAlignment="1">
      <alignment horizontal="center" vertical="center" wrapText="1"/>
    </xf>
    <xf numFmtId="0" fontId="5" fillId="10" borderId="15" xfId="0" applyFont="1" applyFill="1" applyBorder="1" applyAlignment="1">
      <alignment horizontal="center" vertical="center" wrapText="1"/>
    </xf>
    <xf numFmtId="173" fontId="4" fillId="8" borderId="4" xfId="0" applyNumberFormat="1" applyFont="1" applyFill="1" applyBorder="1" applyAlignment="1">
      <alignment horizontal="center" vertical="center"/>
    </xf>
    <xf numFmtId="164" fontId="4" fillId="8" borderId="4" xfId="0" applyNumberFormat="1" applyFont="1" applyFill="1" applyBorder="1" applyAlignment="1">
      <alignment horizontal="center" vertical="center"/>
    </xf>
    <xf numFmtId="49" fontId="12" fillId="8" borderId="4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173" fontId="4" fillId="12" borderId="8" xfId="0" applyNumberFormat="1" applyFont="1" applyFill="1" applyBorder="1" applyAlignment="1">
      <alignment horizontal="center" vertical="center"/>
    </xf>
    <xf numFmtId="164" fontId="4" fillId="12" borderId="8" xfId="0" applyNumberFormat="1" applyFont="1" applyFill="1" applyBorder="1" applyAlignment="1">
      <alignment horizontal="center" vertical="center"/>
    </xf>
    <xf numFmtId="49" fontId="12" fillId="12" borderId="8" xfId="0" applyNumberFormat="1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173" fontId="4" fillId="11" borderId="11" xfId="0" applyNumberFormat="1" applyFont="1" applyFill="1" applyBorder="1" applyAlignment="1">
      <alignment horizontal="center" vertical="center"/>
    </xf>
    <xf numFmtId="164" fontId="4" fillId="11" borderId="11" xfId="0" applyNumberFormat="1" applyFont="1" applyFill="1" applyBorder="1" applyAlignment="1">
      <alignment horizontal="center" vertical="center"/>
    </xf>
    <xf numFmtId="49" fontId="9" fillId="11" borderId="11" xfId="0" applyNumberFormat="1" applyFont="1" applyFill="1" applyBorder="1" applyAlignment="1">
      <alignment horizontal="center" vertical="center"/>
    </xf>
    <xf numFmtId="0" fontId="4" fillId="0" borderId="16" xfId="0" applyFont="1" applyBorder="1"/>
    <xf numFmtId="0" fontId="4" fillId="0" borderId="2" xfId="0" applyFont="1" applyBorder="1"/>
    <xf numFmtId="0" fontId="4" fillId="0" borderId="17" xfId="0" applyFont="1" applyBorder="1"/>
    <xf numFmtId="0" fontId="4" fillId="0" borderId="21" xfId="0" applyFont="1" applyBorder="1"/>
    <xf numFmtId="0" fontId="10" fillId="5" borderId="0" xfId="0" applyFont="1" applyFill="1" applyAlignment="1">
      <alignment vertical="center"/>
    </xf>
    <xf numFmtId="165" fontId="4" fillId="8" borderId="11" xfId="0" applyNumberFormat="1" applyFont="1" applyFill="1" applyBorder="1" applyAlignment="1">
      <alignment horizontal="center" vertical="center" wrapText="1"/>
    </xf>
    <xf numFmtId="165" fontId="4" fillId="13" borderId="4" xfId="0" applyNumberFormat="1" applyFont="1" applyFill="1" applyBorder="1" applyAlignment="1">
      <alignment horizontal="center" vertical="center" wrapText="1"/>
    </xf>
    <xf numFmtId="164" fontId="4" fillId="8" borderId="4" xfId="0" applyNumberFormat="1" applyFont="1" applyFill="1" applyBorder="1" applyAlignment="1">
      <alignment horizontal="center" vertical="center" wrapText="1"/>
    </xf>
    <xf numFmtId="165" fontId="4" fillId="8" borderId="4" xfId="0" applyNumberFormat="1" applyFont="1" applyFill="1" applyBorder="1" applyAlignment="1">
      <alignment horizontal="center" vertical="center" wrapText="1"/>
    </xf>
    <xf numFmtId="0" fontId="4" fillId="13" borderId="7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 wrapText="1"/>
    </xf>
    <xf numFmtId="0" fontId="4" fillId="13" borderId="9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165" fontId="4" fillId="13" borderId="4" xfId="0" applyNumberFormat="1" applyFont="1" applyFill="1" applyBorder="1" applyAlignment="1">
      <alignment horizontal="center" vertical="center"/>
    </xf>
    <xf numFmtId="0" fontId="8" fillId="13" borderId="6" xfId="0" applyFont="1" applyFill="1" applyBorder="1" applyAlignment="1">
      <alignment horizontal="center" vertical="center"/>
    </xf>
    <xf numFmtId="165" fontId="4" fillId="8" borderId="4" xfId="0" applyNumberFormat="1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13" borderId="6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165" fontId="4" fillId="8" borderId="8" xfId="0" applyNumberFormat="1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 vertical="center" wrapText="1"/>
    </xf>
    <xf numFmtId="165" fontId="4" fillId="13" borderId="0" xfId="0" applyNumberFormat="1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4" fillId="13" borderId="19" xfId="0" applyFont="1" applyFill="1" applyBorder="1"/>
    <xf numFmtId="0" fontId="4" fillId="13" borderId="0" xfId="0" applyFont="1" applyFill="1"/>
    <xf numFmtId="0" fontId="7" fillId="8" borderId="0" xfId="0" applyFont="1" applyFill="1" applyAlignment="1">
      <alignment horizontal="left" indent="1"/>
    </xf>
    <xf numFmtId="164" fontId="7" fillId="8" borderId="0" xfId="0" applyNumberFormat="1" applyFont="1" applyFill="1" applyAlignment="1">
      <alignment horizontal="right"/>
    </xf>
    <xf numFmtId="0" fontId="4" fillId="8" borderId="10" xfId="0" applyFont="1" applyFill="1" applyBorder="1" applyAlignment="1">
      <alignment horizontal="center" vertical="center"/>
    </xf>
    <xf numFmtId="165" fontId="4" fillId="8" borderId="12" xfId="0" applyNumberFormat="1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165" fontId="4" fillId="13" borderId="6" xfId="0" applyNumberFormat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165" fontId="4" fillId="8" borderId="6" xfId="0" applyNumberFormat="1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164" fontId="4" fillId="8" borderId="8" xfId="0" applyNumberFormat="1" applyFont="1" applyFill="1" applyBorder="1" applyAlignment="1">
      <alignment horizontal="center" vertical="center"/>
    </xf>
    <xf numFmtId="164" fontId="4" fillId="8" borderId="9" xfId="0" applyNumberFormat="1" applyFont="1" applyFill="1" applyBorder="1" applyAlignment="1">
      <alignment horizontal="center" vertical="center"/>
    </xf>
    <xf numFmtId="169" fontId="4" fillId="8" borderId="4" xfId="0" applyNumberFormat="1" applyFont="1" applyFill="1" applyBorder="1" applyAlignment="1">
      <alignment horizontal="center" vertical="center"/>
    </xf>
    <xf numFmtId="169" fontId="4" fillId="8" borderId="6" xfId="0" applyNumberFormat="1" applyFont="1" applyFill="1" applyBorder="1" applyAlignment="1">
      <alignment horizontal="center" vertical="center"/>
    </xf>
    <xf numFmtId="164" fontId="4" fillId="13" borderId="8" xfId="0" applyNumberFormat="1" applyFont="1" applyFill="1" applyBorder="1" applyAlignment="1">
      <alignment horizontal="center" vertical="center"/>
    </xf>
    <xf numFmtId="164" fontId="4" fillId="13" borderId="9" xfId="0" applyNumberFormat="1" applyFont="1" applyFill="1" applyBorder="1" applyAlignment="1">
      <alignment horizontal="center" vertical="center"/>
    </xf>
    <xf numFmtId="0" fontId="7" fillId="13" borderId="0" xfId="0" applyFont="1" applyFill="1" applyAlignment="1">
      <alignment horizontal="left" indent="1"/>
    </xf>
    <xf numFmtId="164" fontId="7" fillId="13" borderId="0" xfId="0" applyNumberFormat="1" applyFont="1" applyFill="1" applyAlignment="1">
      <alignment horizontal="right"/>
    </xf>
    <xf numFmtId="164" fontId="4" fillId="8" borderId="11" xfId="0" applyNumberFormat="1" applyFont="1" applyFill="1" applyBorder="1" applyAlignment="1">
      <alignment horizontal="center" vertical="center"/>
    </xf>
    <xf numFmtId="164" fontId="4" fillId="8" borderId="12" xfId="0" applyNumberFormat="1" applyFont="1" applyFill="1" applyBorder="1" applyAlignment="1">
      <alignment horizontal="center" vertical="center"/>
    </xf>
    <xf numFmtId="164" fontId="4" fillId="13" borderId="4" xfId="0" applyNumberFormat="1" applyFont="1" applyFill="1" applyBorder="1" applyAlignment="1">
      <alignment horizontal="center" vertical="center"/>
    </xf>
    <xf numFmtId="164" fontId="4" fillId="13" borderId="6" xfId="0" applyNumberFormat="1" applyFont="1" applyFill="1" applyBorder="1" applyAlignment="1">
      <alignment horizontal="center" vertical="center"/>
    </xf>
    <xf numFmtId="164" fontId="4" fillId="8" borderId="6" xfId="0" applyNumberFormat="1" applyFont="1" applyFill="1" applyBorder="1" applyAlignment="1">
      <alignment horizontal="center" vertical="center"/>
    </xf>
    <xf numFmtId="0" fontId="4" fillId="13" borderId="3" xfId="0" applyFont="1" applyFill="1" applyBorder="1"/>
    <xf numFmtId="0" fontId="6" fillId="13" borderId="6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 vertical="center"/>
    </xf>
    <xf numFmtId="164" fontId="4" fillId="8" borderId="4" xfId="0" applyNumberFormat="1" applyFont="1" applyFill="1" applyBorder="1" applyAlignment="1">
      <alignment horizontal="right"/>
    </xf>
    <xf numFmtId="0" fontId="4" fillId="8" borderId="5" xfId="0" applyFont="1" applyFill="1" applyBorder="1" applyAlignment="1">
      <alignment horizontal="left"/>
    </xf>
    <xf numFmtId="0" fontId="4" fillId="8" borderId="10" xfId="0" applyFont="1" applyFill="1" applyBorder="1" applyAlignment="1">
      <alignment horizontal="left"/>
    </xf>
    <xf numFmtId="164" fontId="4" fillId="8" borderId="11" xfId="0" applyNumberFormat="1" applyFont="1" applyFill="1" applyBorder="1" applyAlignment="1">
      <alignment horizontal="right"/>
    </xf>
    <xf numFmtId="0" fontId="4" fillId="12" borderId="7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15" fillId="0" borderId="6" xfId="0" applyFont="1" applyBorder="1"/>
    <xf numFmtId="0" fontId="4" fillId="13" borderId="7" xfId="0" applyFont="1" applyFill="1" applyBorder="1" applyAlignment="1">
      <alignment horizontal="left"/>
    </xf>
    <xf numFmtId="164" fontId="4" fillId="13" borderId="8" xfId="0" applyNumberFormat="1" applyFont="1" applyFill="1" applyBorder="1" applyAlignment="1">
      <alignment horizontal="right"/>
    </xf>
    <xf numFmtId="0" fontId="15" fillId="0" borderId="9" xfId="0" applyFont="1" applyBorder="1"/>
    <xf numFmtId="0" fontId="15" fillId="0" borderId="12" xfId="0" applyFont="1" applyBorder="1"/>
    <xf numFmtId="0" fontId="10" fillId="5" borderId="19" xfId="0" applyFont="1" applyFill="1" applyBorder="1" applyAlignment="1">
      <alignment vertical="center"/>
    </xf>
    <xf numFmtId="0" fontId="5" fillId="5" borderId="19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74" fontId="4" fillId="0" borderId="0" xfId="0" applyNumberFormat="1" applyFont="1" applyAlignment="1">
      <alignment horizontal="center" vertical="center"/>
    </xf>
    <xf numFmtId="164" fontId="4" fillId="14" borderId="25" xfId="0" applyNumberFormat="1" applyFont="1" applyFill="1" applyBorder="1" applyAlignment="1">
      <alignment horizontal="center" vertical="center"/>
    </xf>
    <xf numFmtId="164" fontId="4" fillId="8" borderId="25" xfId="0" applyNumberFormat="1" applyFont="1" applyFill="1" applyBorder="1" applyAlignment="1">
      <alignment horizontal="center" vertical="center"/>
    </xf>
    <xf numFmtId="0" fontId="4" fillId="13" borderId="25" xfId="0" applyFont="1" applyFill="1" applyBorder="1" applyAlignment="1">
      <alignment horizontal="center" vertical="center"/>
    </xf>
    <xf numFmtId="164" fontId="4" fillId="13" borderId="25" xfId="0" applyNumberFormat="1" applyFont="1" applyFill="1" applyBorder="1" applyAlignment="1">
      <alignment horizontal="center" vertical="center"/>
    </xf>
    <xf numFmtId="165" fontId="4" fillId="8" borderId="25" xfId="0" applyNumberFormat="1" applyFont="1" applyFill="1" applyBorder="1" applyAlignment="1">
      <alignment horizontal="center" vertical="center"/>
    </xf>
    <xf numFmtId="165" fontId="4" fillId="13" borderId="25" xfId="0" applyNumberFormat="1" applyFont="1" applyFill="1" applyBorder="1" applyAlignment="1">
      <alignment horizontal="center" vertical="center"/>
    </xf>
    <xf numFmtId="0" fontId="4" fillId="14" borderId="26" xfId="0" applyFont="1" applyFill="1" applyBorder="1" applyAlignment="1">
      <alignment horizontal="center" vertical="center"/>
    </xf>
    <xf numFmtId="0" fontId="13" fillId="13" borderId="27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/>
    </xf>
    <xf numFmtId="0" fontId="14" fillId="13" borderId="27" xfId="0" applyFont="1" applyFill="1" applyBorder="1" applyAlignment="1">
      <alignment horizontal="center" vertical="center"/>
    </xf>
    <xf numFmtId="0" fontId="4" fillId="13" borderId="26" xfId="0" applyFont="1" applyFill="1" applyBorder="1" applyAlignment="1">
      <alignment horizontal="center" vertical="center"/>
    </xf>
    <xf numFmtId="0" fontId="4" fillId="13" borderId="28" xfId="0" applyFont="1" applyFill="1" applyBorder="1" applyAlignment="1">
      <alignment horizontal="center" vertical="center"/>
    </xf>
    <xf numFmtId="165" fontId="4" fillId="13" borderId="29" xfId="0" applyNumberFormat="1" applyFont="1" applyFill="1" applyBorder="1" applyAlignment="1">
      <alignment horizontal="center" vertical="center"/>
    </xf>
    <xf numFmtId="0" fontId="14" fillId="13" borderId="30" xfId="0" applyFont="1" applyFill="1" applyBorder="1" applyAlignment="1">
      <alignment horizontal="center" vertical="center"/>
    </xf>
    <xf numFmtId="0" fontId="4" fillId="14" borderId="31" xfId="0" applyFont="1" applyFill="1" applyBorder="1" applyAlignment="1">
      <alignment horizontal="center" vertical="center"/>
    </xf>
    <xf numFmtId="164" fontId="4" fillId="14" borderId="32" xfId="0" applyNumberFormat="1" applyFont="1" applyFill="1" applyBorder="1" applyAlignment="1">
      <alignment horizontal="center" vertical="center"/>
    </xf>
    <xf numFmtId="0" fontId="13" fillId="13" borderId="33" xfId="0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 wrapText="1"/>
    </xf>
    <xf numFmtId="0" fontId="5" fillId="10" borderId="35" xfId="0" applyFont="1" applyFill="1" applyBorder="1" applyAlignment="1">
      <alignment horizontal="center" vertical="center" wrapText="1"/>
    </xf>
    <xf numFmtId="0" fontId="5" fillId="10" borderId="36" xfId="0" applyFont="1" applyFill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164" fontId="4" fillId="8" borderId="32" xfId="0" applyNumberFormat="1" applyFont="1" applyFill="1" applyBorder="1" applyAlignment="1">
      <alignment horizontal="center" vertical="center"/>
    </xf>
    <xf numFmtId="0" fontId="14" fillId="13" borderId="33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165" fontId="4" fillId="8" borderId="29" xfId="0" applyNumberFormat="1" applyFont="1" applyFill="1" applyBorder="1" applyAlignment="1">
      <alignment horizontal="center" vertical="center"/>
    </xf>
    <xf numFmtId="165" fontId="4" fillId="8" borderId="32" xfId="0" applyNumberFormat="1" applyFont="1" applyFill="1" applyBorder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170" fontId="4" fillId="8" borderId="32" xfId="0" applyNumberFormat="1" applyFont="1" applyFill="1" applyBorder="1" applyAlignment="1">
      <alignment horizontal="center" vertical="center"/>
    </xf>
    <xf numFmtId="0" fontId="4" fillId="13" borderId="32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10" borderId="34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14" fillId="0" borderId="27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7" fillId="8" borderId="26" xfId="0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center" vertical="center"/>
    </xf>
    <xf numFmtId="0" fontId="7" fillId="8" borderId="28" xfId="0" applyFont="1" applyFill="1" applyBorder="1" applyAlignment="1">
      <alignment horizontal="center" vertical="center"/>
    </xf>
    <xf numFmtId="171" fontId="4" fillId="13" borderId="25" xfId="0" applyNumberFormat="1" applyFont="1" applyFill="1" applyBorder="1" applyAlignment="1">
      <alignment horizontal="center" vertical="center"/>
    </xf>
    <xf numFmtId="172" fontId="4" fillId="8" borderId="25" xfId="0" applyNumberFormat="1" applyFont="1" applyFill="1" applyBorder="1" applyAlignment="1">
      <alignment horizontal="center" vertical="center"/>
    </xf>
    <xf numFmtId="173" fontId="4" fillId="8" borderId="25" xfId="0" applyNumberFormat="1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13" borderId="31" xfId="0" applyFont="1" applyFill="1" applyBorder="1" applyAlignment="1">
      <alignment horizontal="center" vertical="center"/>
    </xf>
    <xf numFmtId="0" fontId="4" fillId="13" borderId="33" xfId="0" applyFont="1" applyFill="1" applyBorder="1" applyAlignment="1">
      <alignment horizontal="center" vertical="center"/>
    </xf>
    <xf numFmtId="175" fontId="4" fillId="13" borderId="26" xfId="0" applyNumberFormat="1" applyFont="1" applyFill="1" applyBorder="1" applyAlignment="1">
      <alignment horizontal="center" vertical="center"/>
    </xf>
    <xf numFmtId="175" fontId="4" fillId="13" borderId="25" xfId="0" applyNumberFormat="1" applyFont="1" applyFill="1" applyBorder="1" applyAlignment="1">
      <alignment horizontal="center" vertical="center"/>
    </xf>
    <xf numFmtId="175" fontId="4" fillId="13" borderId="27" xfId="0" applyNumberFormat="1" applyFont="1" applyFill="1" applyBorder="1" applyAlignment="1">
      <alignment horizontal="center" vertical="center"/>
    </xf>
    <xf numFmtId="175" fontId="16" fillId="13" borderId="25" xfId="0" applyNumberFormat="1" applyFont="1" applyFill="1" applyBorder="1" applyAlignment="1">
      <alignment horizontal="center" vertical="center"/>
    </xf>
    <xf numFmtId="175" fontId="16" fillId="13" borderId="27" xfId="0" applyNumberFormat="1" applyFont="1" applyFill="1" applyBorder="1" applyAlignment="1">
      <alignment horizontal="center" vertical="center"/>
    </xf>
    <xf numFmtId="175" fontId="4" fillId="13" borderId="29" xfId="0" applyNumberFormat="1" applyFont="1" applyFill="1" applyBorder="1" applyAlignment="1">
      <alignment horizontal="center" vertical="center"/>
    </xf>
    <xf numFmtId="175" fontId="4" fillId="13" borderId="30" xfId="0" applyNumberFormat="1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174" fontId="4" fillId="13" borderId="25" xfId="0" applyNumberFormat="1" applyFont="1" applyFill="1" applyBorder="1" applyAlignment="1">
      <alignment horizontal="center" vertical="center"/>
    </xf>
    <xf numFmtId="10" fontId="4" fillId="13" borderId="25" xfId="0" applyNumberFormat="1" applyFont="1" applyFill="1" applyBorder="1" applyAlignment="1">
      <alignment horizontal="center" vertical="center"/>
    </xf>
    <xf numFmtId="10" fontId="17" fillId="13" borderId="25" xfId="1" applyNumberFormat="1" applyFont="1" applyFill="1" applyBorder="1" applyAlignment="1">
      <alignment horizontal="center" vertical="center"/>
    </xf>
    <xf numFmtId="10" fontId="17" fillId="13" borderId="27" xfId="1" applyNumberFormat="1" applyFont="1" applyFill="1" applyBorder="1" applyAlignment="1">
      <alignment horizontal="center" vertical="center"/>
    </xf>
    <xf numFmtId="10" fontId="4" fillId="13" borderId="26" xfId="0" applyNumberFormat="1" applyFont="1" applyFill="1" applyBorder="1" applyAlignment="1">
      <alignment horizontal="center" vertical="center"/>
    </xf>
    <xf numFmtId="10" fontId="16" fillId="13" borderId="26" xfId="0" applyNumberFormat="1" applyFont="1" applyFill="1" applyBorder="1" applyAlignment="1">
      <alignment horizontal="center" vertical="center"/>
    </xf>
    <xf numFmtId="10" fontId="4" fillId="13" borderId="28" xfId="0" applyNumberFormat="1" applyFont="1" applyFill="1" applyBorder="1" applyAlignment="1">
      <alignment horizontal="center" vertical="center"/>
    </xf>
    <xf numFmtId="49" fontId="12" fillId="8" borderId="29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164" fontId="4" fillId="11" borderId="32" xfId="0" applyNumberFormat="1" applyFont="1" applyFill="1" applyBorder="1" applyAlignment="1">
      <alignment horizontal="center" vertical="center"/>
    </xf>
    <xf numFmtId="164" fontId="4" fillId="8" borderId="33" xfId="0" applyNumberFormat="1" applyFont="1" applyFill="1" applyBorder="1" applyAlignment="1">
      <alignment horizontal="center" vertical="center"/>
    </xf>
    <xf numFmtId="164" fontId="4" fillId="11" borderId="25" xfId="0" applyNumberFormat="1" applyFont="1" applyFill="1" applyBorder="1" applyAlignment="1">
      <alignment horizontal="center" vertical="center"/>
    </xf>
    <xf numFmtId="164" fontId="4" fillId="8" borderId="27" xfId="0" applyNumberFormat="1" applyFont="1" applyFill="1" applyBorder="1" applyAlignment="1">
      <alignment horizontal="center" vertical="center"/>
    </xf>
    <xf numFmtId="165" fontId="4" fillId="11" borderId="29" xfId="0" applyNumberFormat="1" applyFont="1" applyFill="1" applyBorder="1" applyAlignment="1">
      <alignment horizontal="center" vertical="center"/>
    </xf>
    <xf numFmtId="165" fontId="4" fillId="8" borderId="30" xfId="0" applyNumberFormat="1" applyFont="1" applyFill="1" applyBorder="1" applyAlignment="1">
      <alignment horizontal="center" vertical="center"/>
    </xf>
    <xf numFmtId="167" fontId="17" fillId="11" borderId="25" xfId="0" applyNumberFormat="1" applyFont="1" applyFill="1" applyBorder="1" applyAlignment="1">
      <alignment horizontal="center" vertical="center"/>
    </xf>
    <xf numFmtId="167" fontId="17" fillId="8" borderId="25" xfId="0" applyNumberFormat="1" applyFont="1" applyFill="1" applyBorder="1" applyAlignment="1">
      <alignment horizontal="center" vertical="center"/>
    </xf>
    <xf numFmtId="167" fontId="17" fillId="12" borderId="25" xfId="0" applyNumberFormat="1" applyFont="1" applyFill="1" applyBorder="1" applyAlignment="1">
      <alignment horizontal="center" vertical="center"/>
    </xf>
    <xf numFmtId="168" fontId="17" fillId="11" borderId="25" xfId="0" applyNumberFormat="1" applyFont="1" applyFill="1" applyBorder="1" applyAlignment="1">
      <alignment horizontal="center" vertical="center"/>
    </xf>
    <xf numFmtId="168" fontId="17" fillId="8" borderId="25" xfId="0" applyNumberFormat="1" applyFont="1" applyFill="1" applyBorder="1" applyAlignment="1">
      <alignment horizontal="center" vertical="center"/>
    </xf>
    <xf numFmtId="168" fontId="17" fillId="12" borderId="25" xfId="0" applyNumberFormat="1" applyFont="1" applyFill="1" applyBorder="1" applyAlignment="1">
      <alignment horizontal="center" vertical="center"/>
    </xf>
    <xf numFmtId="49" fontId="9" fillId="11" borderId="25" xfId="0" applyNumberFormat="1" applyFont="1" applyFill="1" applyBorder="1" applyAlignment="1">
      <alignment horizontal="center" vertical="center"/>
    </xf>
    <xf numFmtId="49" fontId="12" fillId="8" borderId="25" xfId="0" applyNumberFormat="1" applyFont="1" applyFill="1" applyBorder="1" applyAlignment="1">
      <alignment horizontal="center" vertical="center"/>
    </xf>
    <xf numFmtId="49" fontId="12" fillId="12" borderId="25" xfId="0" applyNumberFormat="1" applyFont="1" applyFill="1" applyBorder="1" applyAlignment="1">
      <alignment horizontal="center" vertical="center"/>
    </xf>
    <xf numFmtId="169" fontId="4" fillId="11" borderId="25" xfId="0" applyNumberFormat="1" applyFont="1" applyFill="1" applyBorder="1" applyAlignment="1">
      <alignment horizontal="center" vertical="center"/>
    </xf>
    <xf numFmtId="169" fontId="4" fillId="8" borderId="25" xfId="0" applyNumberFormat="1" applyFont="1" applyFill="1" applyBorder="1" applyAlignment="1">
      <alignment horizontal="center" vertical="center"/>
    </xf>
    <xf numFmtId="169" fontId="4" fillId="12" borderId="25" xfId="0" applyNumberFormat="1" applyFont="1" applyFill="1" applyBorder="1" applyAlignment="1">
      <alignment horizontal="center" vertical="center"/>
    </xf>
    <xf numFmtId="0" fontId="14" fillId="0" borderId="27" xfId="0" applyFont="1" applyBorder="1"/>
    <xf numFmtId="169" fontId="4" fillId="11" borderId="29" xfId="0" applyNumberFormat="1" applyFont="1" applyFill="1" applyBorder="1" applyAlignment="1">
      <alignment horizontal="center" vertical="center"/>
    </xf>
    <xf numFmtId="169" fontId="4" fillId="8" borderId="29" xfId="0" applyNumberFormat="1" applyFont="1" applyFill="1" applyBorder="1" applyAlignment="1">
      <alignment horizontal="center" vertical="center"/>
    </xf>
    <xf numFmtId="169" fontId="4" fillId="12" borderId="29" xfId="0" applyNumberFormat="1" applyFont="1" applyFill="1" applyBorder="1" applyAlignment="1">
      <alignment horizontal="center" vertical="center"/>
    </xf>
    <xf numFmtId="0" fontId="14" fillId="0" borderId="30" xfId="0" applyFont="1" applyBorder="1"/>
    <xf numFmtId="166" fontId="17" fillId="11" borderId="32" xfId="0" applyNumberFormat="1" applyFont="1" applyFill="1" applyBorder="1" applyAlignment="1">
      <alignment horizontal="center" vertical="center"/>
    </xf>
    <xf numFmtId="166" fontId="17" fillId="8" borderId="32" xfId="0" applyNumberFormat="1" applyFont="1" applyFill="1" applyBorder="1" applyAlignment="1">
      <alignment horizontal="center" vertical="center"/>
    </xf>
    <xf numFmtId="166" fontId="17" fillId="12" borderId="32" xfId="0" applyNumberFormat="1" applyFont="1" applyFill="1" applyBorder="1" applyAlignment="1">
      <alignment horizontal="center" vertical="center"/>
    </xf>
    <xf numFmtId="0" fontId="14" fillId="0" borderId="33" xfId="0" applyFont="1" applyBorder="1"/>
    <xf numFmtId="0" fontId="17" fillId="11" borderId="25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7" fillId="13" borderId="26" xfId="0" applyFont="1" applyFill="1" applyBorder="1" applyAlignment="1">
      <alignment horizontal="center" vertical="center" wrapText="1"/>
    </xf>
    <xf numFmtId="0" fontId="17" fillId="12" borderId="27" xfId="0" applyFont="1" applyFill="1" applyBorder="1" applyAlignment="1">
      <alignment horizontal="center" vertical="center" wrapText="1"/>
    </xf>
    <xf numFmtId="0" fontId="7" fillId="13" borderId="28" xfId="0" applyFont="1" applyFill="1" applyBorder="1" applyAlignment="1">
      <alignment horizontal="center" vertical="center" wrapText="1"/>
    </xf>
    <xf numFmtId="0" fontId="17" fillId="11" borderId="29" xfId="0" applyFont="1" applyFill="1" applyBorder="1" applyAlignment="1">
      <alignment horizontal="center" vertical="center" wrapText="1"/>
    </xf>
    <xf numFmtId="0" fontId="17" fillId="8" borderId="29" xfId="0" applyFont="1" applyFill="1" applyBorder="1" applyAlignment="1">
      <alignment horizontal="center" vertical="center" wrapText="1"/>
    </xf>
    <xf numFmtId="0" fontId="17" fillId="12" borderId="30" xfId="0" applyFont="1" applyFill="1" applyBorder="1" applyAlignment="1">
      <alignment horizontal="center" vertical="center" wrapText="1"/>
    </xf>
    <xf numFmtId="0" fontId="7" fillId="13" borderId="31" xfId="0" applyFont="1" applyFill="1" applyBorder="1" applyAlignment="1">
      <alignment horizontal="center" vertical="center" wrapText="1"/>
    </xf>
    <xf numFmtId="0" fontId="17" fillId="11" borderId="3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12" borderId="33" xfId="0" applyFont="1" applyFill="1" applyBorder="1" applyAlignment="1">
      <alignment horizontal="center" vertical="center" wrapText="1"/>
    </xf>
    <xf numFmtId="0" fontId="4" fillId="0" borderId="41" xfId="0" applyFont="1" applyBorder="1"/>
    <xf numFmtId="0" fontId="4" fillId="0" borderId="42" xfId="0" applyFont="1" applyBorder="1"/>
    <xf numFmtId="0" fontId="4" fillId="0" borderId="43" xfId="0" applyFont="1" applyBorder="1"/>
    <xf numFmtId="0" fontId="4" fillId="0" borderId="44" xfId="0" applyFont="1" applyBorder="1"/>
    <xf numFmtId="0" fontId="10" fillId="5" borderId="45" xfId="0" applyFont="1" applyFill="1" applyBorder="1" applyAlignment="1">
      <alignment vertical="center"/>
    </xf>
    <xf numFmtId="0" fontId="4" fillId="0" borderId="45" xfId="0" applyFont="1" applyBorder="1"/>
    <xf numFmtId="0" fontId="4" fillId="0" borderId="46" xfId="0" applyFont="1" applyBorder="1"/>
    <xf numFmtId="0" fontId="4" fillId="0" borderId="47" xfId="0" applyFont="1" applyBorder="1"/>
    <xf numFmtId="0" fontId="4" fillId="0" borderId="48" xfId="0" applyFont="1" applyBorder="1"/>
    <xf numFmtId="0" fontId="20" fillId="4" borderId="0" xfId="0" applyFont="1" applyFill="1" applyAlignment="1">
      <alignment horizontal="center"/>
    </xf>
    <xf numFmtId="164" fontId="4" fillId="19" borderId="25" xfId="0" applyNumberFormat="1" applyFont="1" applyFill="1" applyBorder="1" applyAlignment="1">
      <alignment horizontal="center" vertical="center"/>
    </xf>
    <xf numFmtId="173" fontId="4" fillId="13" borderId="25" xfId="0" applyNumberFormat="1" applyFont="1" applyFill="1" applyBorder="1" applyAlignment="1">
      <alignment horizontal="center" vertical="center"/>
    </xf>
    <xf numFmtId="0" fontId="18" fillId="3" borderId="50" xfId="0" applyFont="1" applyFill="1" applyBorder="1" applyAlignment="1">
      <alignment horizontal="center" vertical="center"/>
    </xf>
    <xf numFmtId="164" fontId="4" fillId="13" borderId="32" xfId="0" applyNumberFormat="1" applyFont="1" applyFill="1" applyBorder="1" applyAlignment="1">
      <alignment horizontal="center" vertical="center"/>
    </xf>
    <xf numFmtId="164" fontId="4" fillId="19" borderId="32" xfId="0" applyNumberFormat="1" applyFont="1" applyFill="1" applyBorder="1" applyAlignment="1">
      <alignment horizontal="center" vertical="center"/>
    </xf>
    <xf numFmtId="0" fontId="18" fillId="3" borderId="53" xfId="0" applyFont="1" applyFill="1" applyBorder="1" applyAlignment="1">
      <alignment horizontal="center" vertical="center"/>
    </xf>
    <xf numFmtId="0" fontId="4" fillId="13" borderId="59" xfId="0" applyFont="1" applyFill="1" applyBorder="1" applyAlignment="1">
      <alignment horizontal="center" vertical="center"/>
    </xf>
    <xf numFmtId="164" fontId="4" fillId="19" borderId="33" xfId="0" applyNumberFormat="1" applyFont="1" applyFill="1" applyBorder="1" applyAlignment="1">
      <alignment horizontal="center" vertical="center"/>
    </xf>
    <xf numFmtId="164" fontId="4" fillId="19" borderId="27" xfId="0" applyNumberFormat="1" applyFont="1" applyFill="1" applyBorder="1" applyAlignment="1">
      <alignment horizontal="center" vertical="center"/>
    </xf>
    <xf numFmtId="0" fontId="4" fillId="13" borderId="27" xfId="0" applyFont="1" applyFill="1" applyBorder="1" applyAlignment="1">
      <alignment horizontal="center" vertical="center"/>
    </xf>
    <xf numFmtId="165" fontId="4" fillId="13" borderId="27" xfId="0" applyNumberFormat="1" applyFont="1" applyFill="1" applyBorder="1" applyAlignment="1">
      <alignment horizontal="center" vertical="center"/>
    </xf>
    <xf numFmtId="173" fontId="4" fillId="13" borderId="27" xfId="0" applyNumberFormat="1" applyFont="1" applyFill="1" applyBorder="1" applyAlignment="1">
      <alignment horizontal="center" vertical="center"/>
    </xf>
    <xf numFmtId="164" fontId="4" fillId="13" borderId="27" xfId="0" applyNumberFormat="1" applyFont="1" applyFill="1" applyBorder="1" applyAlignment="1">
      <alignment horizontal="center" vertical="center"/>
    </xf>
    <xf numFmtId="49" fontId="9" fillId="11" borderId="29" xfId="0" applyNumberFormat="1" applyFont="1" applyFill="1" applyBorder="1" applyAlignment="1">
      <alignment horizontal="center" vertical="center"/>
    </xf>
    <xf numFmtId="49" fontId="12" fillId="13" borderId="29" xfId="0" applyNumberFormat="1" applyFont="1" applyFill="1" applyBorder="1" applyAlignment="1">
      <alignment horizontal="center" vertical="center"/>
    </xf>
    <xf numFmtId="49" fontId="12" fillId="13" borderId="30" xfId="0" applyNumberFormat="1" applyFont="1" applyFill="1" applyBorder="1" applyAlignment="1">
      <alignment horizontal="center" vertical="center"/>
    </xf>
    <xf numFmtId="0" fontId="22" fillId="0" borderId="0" xfId="0" applyFont="1"/>
    <xf numFmtId="0" fontId="23" fillId="5" borderId="0" xfId="0" applyFont="1" applyFill="1" applyAlignment="1">
      <alignment vertical="center"/>
    </xf>
    <xf numFmtId="0" fontId="24" fillId="8" borderId="25" xfId="0" applyFont="1" applyFill="1" applyBorder="1" applyAlignment="1">
      <alignment horizontal="center" vertical="center"/>
    </xf>
    <xf numFmtId="0" fontId="24" fillId="13" borderId="25" xfId="0" applyFont="1" applyFill="1" applyBorder="1" applyAlignment="1">
      <alignment horizontal="center" vertical="center"/>
    </xf>
    <xf numFmtId="0" fontId="22" fillId="8" borderId="26" xfId="0" applyFont="1" applyFill="1" applyBorder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13" borderId="26" xfId="0" applyFont="1" applyFill="1" applyBorder="1" applyAlignment="1">
      <alignment horizontal="center" vertical="center"/>
    </xf>
    <xf numFmtId="0" fontId="24" fillId="13" borderId="27" xfId="0" applyFont="1" applyFill="1" applyBorder="1" applyAlignment="1">
      <alignment horizontal="center" vertical="center"/>
    </xf>
    <xf numFmtId="0" fontId="22" fillId="8" borderId="28" xfId="0" applyFont="1" applyFill="1" applyBorder="1" applyAlignment="1">
      <alignment horizontal="center" vertical="center"/>
    </xf>
    <xf numFmtId="0" fontId="24" fillId="8" borderId="29" xfId="0" applyFont="1" applyFill="1" applyBorder="1" applyAlignment="1">
      <alignment horizontal="center" vertical="center"/>
    </xf>
    <xf numFmtId="0" fontId="24" fillId="8" borderId="30" xfId="0" applyFont="1" applyFill="1" applyBorder="1" applyAlignment="1">
      <alignment horizontal="center" vertical="center"/>
    </xf>
    <xf numFmtId="0" fontId="22" fillId="8" borderId="31" xfId="0" applyFont="1" applyFill="1" applyBorder="1" applyAlignment="1">
      <alignment horizontal="center" vertical="center"/>
    </xf>
    <xf numFmtId="0" fontId="24" fillId="8" borderId="32" xfId="0" applyFont="1" applyFill="1" applyBorder="1" applyAlignment="1">
      <alignment horizontal="center" vertical="center"/>
    </xf>
    <xf numFmtId="0" fontId="24" fillId="8" borderId="33" xfId="0" applyFont="1" applyFill="1" applyBorder="1" applyAlignment="1">
      <alignment horizontal="center" vertical="center"/>
    </xf>
    <xf numFmtId="0" fontId="23" fillId="10" borderId="34" xfId="0" applyFont="1" applyFill="1" applyBorder="1" applyAlignment="1">
      <alignment horizontal="center" vertical="center" wrapText="1"/>
    </xf>
    <xf numFmtId="0" fontId="23" fillId="10" borderId="35" xfId="0" applyFont="1" applyFill="1" applyBorder="1" applyAlignment="1">
      <alignment horizontal="center" vertical="center" wrapText="1"/>
    </xf>
    <xf numFmtId="0" fontId="23" fillId="10" borderId="36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22" fillId="8" borderId="66" xfId="0" applyFont="1" applyFill="1" applyBorder="1" applyAlignment="1">
      <alignment horizontal="left"/>
    </xf>
    <xf numFmtId="0" fontId="24" fillId="8" borderId="67" xfId="0" applyFont="1" applyFill="1" applyBorder="1"/>
    <xf numFmtId="0" fontId="22" fillId="13" borderId="66" xfId="0" applyFont="1" applyFill="1" applyBorder="1" applyAlignment="1">
      <alignment horizontal="left"/>
    </xf>
    <xf numFmtId="0" fontId="24" fillId="13" borderId="67" xfId="0" applyFont="1" applyFill="1" applyBorder="1"/>
    <xf numFmtId="0" fontId="22" fillId="13" borderId="68" xfId="0" applyFont="1" applyFill="1" applyBorder="1" applyAlignment="1">
      <alignment horizontal="left"/>
    </xf>
    <xf numFmtId="0" fontId="22" fillId="13" borderId="69" xfId="0" applyFont="1" applyFill="1" applyBorder="1" applyAlignment="1">
      <alignment horizontal="center"/>
    </xf>
    <xf numFmtId="0" fontId="24" fillId="13" borderId="70" xfId="0" applyFont="1" applyFill="1" applyBorder="1"/>
    <xf numFmtId="0" fontId="22" fillId="8" borderId="71" xfId="0" applyFont="1" applyFill="1" applyBorder="1" applyAlignment="1">
      <alignment horizontal="left"/>
    </xf>
    <xf numFmtId="0" fontId="22" fillId="8" borderId="24" xfId="0" applyFont="1" applyFill="1" applyBorder="1" applyAlignment="1">
      <alignment horizontal="center"/>
    </xf>
    <xf numFmtId="0" fontId="24" fillId="8" borderId="72" xfId="0" applyFont="1" applyFill="1" applyBorder="1"/>
    <xf numFmtId="0" fontId="23" fillId="10" borderId="73" xfId="0" applyFont="1" applyFill="1" applyBorder="1" applyAlignment="1">
      <alignment horizontal="center" vertical="center" wrapText="1"/>
    </xf>
    <xf numFmtId="0" fontId="23" fillId="10" borderId="74" xfId="0" applyFont="1" applyFill="1" applyBorder="1" applyAlignment="1">
      <alignment horizontal="center" vertical="center" wrapText="1"/>
    </xf>
    <xf numFmtId="0" fontId="23" fillId="10" borderId="75" xfId="0" applyFont="1" applyFill="1" applyBorder="1" applyAlignment="1">
      <alignment horizontal="center" vertical="center" wrapText="1"/>
    </xf>
    <xf numFmtId="0" fontId="22" fillId="0" borderId="41" xfId="0" applyFont="1" applyBorder="1"/>
    <xf numFmtId="0" fontId="22" fillId="0" borderId="42" xfId="0" applyFont="1" applyBorder="1"/>
    <xf numFmtId="0" fontId="22" fillId="0" borderId="43" xfId="0" applyFont="1" applyBorder="1"/>
    <xf numFmtId="0" fontId="22" fillId="0" borderId="44" xfId="0" applyFont="1" applyBorder="1"/>
    <xf numFmtId="0" fontId="23" fillId="5" borderId="45" xfId="0" applyFont="1" applyFill="1" applyBorder="1" applyAlignment="1">
      <alignment vertical="center"/>
    </xf>
    <xf numFmtId="0" fontId="22" fillId="0" borderId="45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164" fontId="4" fillId="13" borderId="0" xfId="0" applyNumberFormat="1" applyFont="1" applyFill="1" applyAlignment="1">
      <alignment horizontal="center" vertical="center"/>
    </xf>
    <xf numFmtId="3" fontId="4" fillId="0" borderId="25" xfId="0" applyNumberFormat="1" applyFont="1" applyBorder="1" applyAlignment="1">
      <alignment horizontal="center" vertical="center"/>
    </xf>
    <xf numFmtId="3" fontId="4" fillId="0" borderId="27" xfId="0" applyNumberFormat="1" applyFont="1" applyBorder="1" applyAlignment="1">
      <alignment horizontal="center" vertical="center"/>
    </xf>
    <xf numFmtId="3" fontId="4" fillId="0" borderId="29" xfId="0" applyNumberFormat="1" applyFont="1" applyBorder="1" applyAlignment="1">
      <alignment horizontal="center" vertical="center"/>
    </xf>
    <xf numFmtId="3" fontId="4" fillId="0" borderId="30" xfId="0" applyNumberFormat="1" applyFont="1" applyBorder="1" applyAlignment="1">
      <alignment horizontal="center" vertical="center"/>
    </xf>
    <xf numFmtId="3" fontId="4" fillId="0" borderId="32" xfId="0" applyNumberFormat="1" applyFont="1" applyBorder="1" applyAlignment="1">
      <alignment horizontal="center" vertical="center"/>
    </xf>
    <xf numFmtId="3" fontId="4" fillId="0" borderId="33" xfId="0" applyNumberFormat="1" applyFont="1" applyBorder="1" applyAlignment="1">
      <alignment horizontal="center" vertical="center"/>
    </xf>
    <xf numFmtId="0" fontId="11" fillId="9" borderId="76" xfId="0" applyFont="1" applyFill="1" applyBorder="1" applyAlignment="1">
      <alignment horizontal="center" vertical="center"/>
    </xf>
    <xf numFmtId="0" fontId="11" fillId="9" borderId="56" xfId="0" applyFont="1" applyFill="1" applyBorder="1" applyAlignment="1">
      <alignment horizontal="center" vertical="center"/>
    </xf>
    <xf numFmtId="0" fontId="11" fillId="9" borderId="57" xfId="0" applyFont="1" applyFill="1" applyBorder="1" applyAlignment="1">
      <alignment horizontal="center" vertical="center"/>
    </xf>
    <xf numFmtId="0" fontId="14" fillId="13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0" fontId="5" fillId="10" borderId="80" xfId="0" applyFont="1" applyFill="1" applyBorder="1" applyAlignment="1">
      <alignment horizontal="center" vertical="center" wrapText="1"/>
    </xf>
    <xf numFmtId="0" fontId="5" fillId="10" borderId="81" xfId="0" applyFont="1" applyFill="1" applyBorder="1" applyAlignment="1">
      <alignment horizontal="center" vertical="center" wrapText="1"/>
    </xf>
    <xf numFmtId="0" fontId="7" fillId="8" borderId="82" xfId="0" applyFont="1" applyFill="1" applyBorder="1" applyAlignment="1">
      <alignment horizontal="center" vertical="center" wrapText="1"/>
    </xf>
    <xf numFmtId="0" fontId="14" fillId="13" borderId="83" xfId="0" applyFont="1" applyFill="1" applyBorder="1" applyAlignment="1">
      <alignment horizontal="center" vertical="center" wrapText="1"/>
    </xf>
    <xf numFmtId="0" fontId="7" fillId="13" borderId="84" xfId="0" applyFont="1" applyFill="1" applyBorder="1" applyAlignment="1">
      <alignment horizontal="center" vertical="center" wrapText="1"/>
    </xf>
    <xf numFmtId="0" fontId="14" fillId="13" borderId="85" xfId="0" applyFont="1" applyFill="1" applyBorder="1" applyAlignment="1">
      <alignment horizontal="center" vertical="center" wrapText="1"/>
    </xf>
    <xf numFmtId="0" fontId="7" fillId="8" borderId="84" xfId="0" applyFont="1" applyFill="1" applyBorder="1" applyAlignment="1">
      <alignment horizontal="center" vertical="center" wrapText="1"/>
    </xf>
    <xf numFmtId="0" fontId="7" fillId="13" borderId="86" xfId="0" applyFont="1" applyFill="1" applyBorder="1" applyAlignment="1">
      <alignment horizontal="center" vertical="center" wrapText="1"/>
    </xf>
    <xf numFmtId="165" fontId="4" fillId="13" borderId="87" xfId="0" applyNumberFormat="1" applyFont="1" applyFill="1" applyBorder="1" applyAlignment="1">
      <alignment horizontal="center" vertical="center" wrapText="1"/>
    </xf>
    <xf numFmtId="0" fontId="14" fillId="13" borderId="88" xfId="0" applyFont="1" applyFill="1" applyBorder="1" applyAlignment="1">
      <alignment horizontal="center" vertical="center" wrapText="1"/>
    </xf>
    <xf numFmtId="0" fontId="5" fillId="10" borderId="14" xfId="0" applyFont="1" applyFill="1" applyBorder="1" applyAlignment="1">
      <alignment horizontal="center" vertical="center" wrapText="1"/>
    </xf>
    <xf numFmtId="0" fontId="5" fillId="10" borderId="15" xfId="0" applyFont="1" applyFill="1" applyBorder="1" applyAlignment="1">
      <alignment horizontal="center" vertical="center" wrapText="1"/>
    </xf>
    <xf numFmtId="0" fontId="14" fillId="11" borderId="11" xfId="0" applyFont="1" applyFill="1" applyBorder="1" applyAlignment="1">
      <alignment horizontal="center" vertical="center"/>
    </xf>
    <xf numFmtId="0" fontId="14" fillId="11" borderId="12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15" borderId="34" xfId="0" applyFont="1" applyFill="1" applyBorder="1" applyAlignment="1">
      <alignment horizontal="center" vertical="center"/>
    </xf>
    <xf numFmtId="0" fontId="11" fillId="15" borderId="35" xfId="0" applyFont="1" applyFill="1" applyBorder="1" applyAlignment="1">
      <alignment horizontal="center" vertical="center"/>
    </xf>
    <xf numFmtId="0" fontId="11" fillId="15" borderId="36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5" fillId="7" borderId="77" xfId="0" applyFont="1" applyFill="1" applyBorder="1" applyAlignment="1">
      <alignment horizontal="center" vertical="center"/>
    </xf>
    <xf numFmtId="0" fontId="5" fillId="7" borderId="78" xfId="0" applyFont="1" applyFill="1" applyBorder="1" applyAlignment="1">
      <alignment horizontal="center" vertical="center"/>
    </xf>
    <xf numFmtId="0" fontId="5" fillId="7" borderId="79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/>
    </xf>
    <xf numFmtId="0" fontId="5" fillId="7" borderId="39" xfId="0" applyFont="1" applyFill="1" applyBorder="1" applyAlignment="1">
      <alignment horizontal="center" vertical="center"/>
    </xf>
    <xf numFmtId="0" fontId="5" fillId="7" borderId="40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22" xfId="0" applyFont="1" applyFill="1" applyBorder="1" applyAlignment="1">
      <alignment horizontal="center" vertical="center"/>
    </xf>
    <xf numFmtId="0" fontId="10" fillId="6" borderId="23" xfId="0" applyFont="1" applyFill="1" applyBorder="1" applyAlignment="1">
      <alignment horizontal="center" vertical="center"/>
    </xf>
    <xf numFmtId="0" fontId="4" fillId="4" borderId="61" xfId="0" applyFont="1" applyFill="1" applyBorder="1" applyAlignment="1">
      <alignment horizontal="center" vertical="center"/>
    </xf>
    <xf numFmtId="0" fontId="4" fillId="4" borderId="59" xfId="0" applyFont="1" applyFill="1" applyBorder="1" applyAlignment="1">
      <alignment horizontal="center" vertical="center"/>
    </xf>
    <xf numFmtId="0" fontId="4" fillId="4" borderId="64" xfId="0" applyFont="1" applyFill="1" applyBorder="1" applyAlignment="1">
      <alignment horizontal="center" vertical="center"/>
    </xf>
    <xf numFmtId="0" fontId="4" fillId="4" borderId="65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58" xfId="0" applyFont="1" applyFill="1" applyBorder="1" applyAlignment="1">
      <alignment horizontal="center" vertical="center"/>
    </xf>
    <xf numFmtId="0" fontId="4" fillId="4" borderId="62" xfId="0" applyFont="1" applyFill="1" applyBorder="1" applyAlignment="1">
      <alignment horizontal="center" vertical="center"/>
    </xf>
    <xf numFmtId="0" fontId="4" fillId="4" borderId="60" xfId="0" applyFont="1" applyFill="1" applyBorder="1" applyAlignment="1">
      <alignment horizontal="center" vertical="center"/>
    </xf>
    <xf numFmtId="0" fontId="4" fillId="4" borderId="63" xfId="0" applyFont="1" applyFill="1" applyBorder="1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0" fontId="19" fillId="16" borderId="38" xfId="0" applyFont="1" applyFill="1" applyBorder="1" applyAlignment="1">
      <alignment horizontal="center"/>
    </xf>
    <xf numFmtId="0" fontId="19" fillId="16" borderId="39" xfId="0" applyFont="1" applyFill="1" applyBorder="1" applyAlignment="1">
      <alignment horizontal="center"/>
    </xf>
    <xf numFmtId="0" fontId="19" fillId="16" borderId="40" xfId="0" applyFont="1" applyFill="1" applyBorder="1" applyAlignment="1">
      <alignment horizontal="center"/>
    </xf>
    <xf numFmtId="0" fontId="11" fillId="18" borderId="34" xfId="0" applyFont="1" applyFill="1" applyBorder="1" applyAlignment="1">
      <alignment horizontal="center" vertical="center"/>
    </xf>
    <xf numFmtId="0" fontId="11" fillId="18" borderId="3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21" fillId="17" borderId="49" xfId="0" applyFont="1" applyFill="1" applyBorder="1" applyAlignment="1">
      <alignment horizontal="center" vertical="center"/>
    </xf>
    <xf numFmtId="0" fontId="21" fillId="17" borderId="50" xfId="0" applyFont="1" applyFill="1" applyBorder="1" applyAlignment="1">
      <alignment horizontal="center" vertical="center"/>
    </xf>
    <xf numFmtId="0" fontId="21" fillId="17" borderId="55" xfId="0" applyFont="1" applyFill="1" applyBorder="1" applyAlignment="1">
      <alignment horizontal="center" vertical="center"/>
    </xf>
    <xf numFmtId="0" fontId="21" fillId="17" borderId="56" xfId="0" applyFont="1" applyFill="1" applyBorder="1" applyAlignment="1">
      <alignment horizontal="center" vertical="center"/>
    </xf>
    <xf numFmtId="0" fontId="21" fillId="17" borderId="52" xfId="0" applyFont="1" applyFill="1" applyBorder="1" applyAlignment="1">
      <alignment horizontal="center" vertical="center"/>
    </xf>
    <xf numFmtId="0" fontId="21" fillId="17" borderId="54" xfId="0" applyFont="1" applyFill="1" applyBorder="1" applyAlignment="1">
      <alignment horizontal="center" vertical="center"/>
    </xf>
    <xf numFmtId="0" fontId="21" fillId="17" borderId="57" xfId="0" applyFont="1" applyFill="1" applyBorder="1" applyAlignment="1">
      <alignment horizontal="center" vertical="center"/>
    </xf>
    <xf numFmtId="0" fontId="23" fillId="7" borderId="38" xfId="0" applyFont="1" applyFill="1" applyBorder="1" applyAlignment="1">
      <alignment horizontal="center" vertical="center"/>
    </xf>
    <xf numFmtId="0" fontId="23" fillId="7" borderId="39" xfId="0" applyFont="1" applyFill="1" applyBorder="1" applyAlignment="1">
      <alignment horizontal="center" vertical="center"/>
    </xf>
    <xf numFmtId="0" fontId="23" fillId="7" borderId="40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0" fontId="23" fillId="6" borderId="23" xfId="0" applyFont="1" applyFill="1" applyBorder="1" applyAlignment="1">
      <alignment horizontal="center" vertical="center"/>
    </xf>
    <xf numFmtId="0" fontId="23" fillId="7" borderId="34" xfId="0" applyFont="1" applyFill="1" applyBorder="1" applyAlignment="1">
      <alignment horizontal="center" vertical="center"/>
    </xf>
    <xf numFmtId="0" fontId="23" fillId="7" borderId="35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2F2F2"/>
      <rgbColor rgb="FFDEEAF1"/>
      <rgbColor rgb="FF660066"/>
      <rgbColor rgb="FFFF8080"/>
      <rgbColor rgb="FF185FA5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A32D2D"/>
      <rgbColor rgb="FF993366"/>
      <rgbColor rgb="FF1F4E79"/>
      <rgbColor rgb="FF2762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47"/>
      <color rgb="FFF2F2F2"/>
      <color rgb="FFB83438"/>
      <color rgb="FF991B1E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j-ea"/>
                <a:cs typeface="+mj-cs"/>
              </a:defRPr>
            </a:pPr>
            <a:r>
              <a:rPr lang="en-AU" sz="1600" baseline="0"/>
              <a:t>Rio Tinto Revenue and EBITDA Trend</a:t>
            </a:r>
            <a:endParaRPr lang="en-GB" sz="16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j-ea"/>
              <a:cs typeface="+mj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'Historical Financials'!$D$47</c:f>
              <c:strCache>
                <c:ptCount val="1"/>
                <c:pt idx="0">
                  <c:v>Revenue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'Historical Financials'!$C$48:$C$52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'Historical Financials'!$D$48:$D$52</c:f>
              <c:numCache>
                <c:formatCode>#,##0</c:formatCode>
                <c:ptCount val="5"/>
                <c:pt idx="0">
                  <c:v>63495</c:v>
                </c:pt>
                <c:pt idx="1">
                  <c:v>55554</c:v>
                </c:pt>
                <c:pt idx="2">
                  <c:v>54041</c:v>
                </c:pt>
                <c:pt idx="3">
                  <c:v>53658</c:v>
                </c:pt>
                <c:pt idx="4">
                  <c:v>57638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48-2842-B629-A662D6396EE7}"/>
            </c:ext>
          </c:extLst>
        </c:ser>
        <c:ser>
          <c:idx val="1"/>
          <c:order val="1"/>
          <c:tx>
            <c:strRef>
              <c:f>'Historical Financials'!$E$47</c:f>
              <c:strCache>
                <c:ptCount val="1"/>
                <c:pt idx="0">
                  <c:v>EBITDA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'Historical Financials'!$C$48:$C$52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'Historical Financials'!$E$48:$E$52</c:f>
              <c:numCache>
                <c:formatCode>#,##0</c:formatCode>
                <c:ptCount val="5"/>
                <c:pt idx="0">
                  <c:v>37720</c:v>
                </c:pt>
                <c:pt idx="1">
                  <c:v>26272</c:v>
                </c:pt>
                <c:pt idx="2">
                  <c:v>23892</c:v>
                </c:pt>
                <c:pt idx="3">
                  <c:v>23314</c:v>
                </c:pt>
                <c:pt idx="4">
                  <c:v>25363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48-2842-B629-A662D6396E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00672384"/>
        <c:axId val="819949824"/>
      </c:lineChart>
      <c:catAx>
        <c:axId val="8006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819949824"/>
        <c:crosses val="autoZero"/>
        <c:auto val="1"/>
        <c:lblAlgn val="ctr"/>
        <c:lblOffset val="100"/>
        <c:noMultiLvlLbl val="0"/>
      </c:catAx>
      <c:valAx>
        <c:axId val="81994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80067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736600</xdr:colOff>
      <xdr:row>31</xdr:row>
      <xdr:rowOff>101600</xdr:rowOff>
    </xdr:from>
    <xdr:to>
      <xdr:col>10</xdr:col>
      <xdr:colOff>165100</xdr:colOff>
      <xdr:row>52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067B24-25E4-AF4D-917B-5BFB7F771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26"/>
  <sheetViews>
    <sheetView showGridLines="0" tabSelected="1" zoomScaleNormal="100" workbookViewId="0">
      <selection activeCell="K7" sqref="K7"/>
    </sheetView>
  </sheetViews>
  <sheetFormatPr baseColWidth="10" defaultColWidth="8.6640625" defaultRowHeight="15" x14ac:dyDescent="0.2"/>
  <cols>
    <col min="1" max="2" width="8.6640625" style="1"/>
    <col min="3" max="3" width="15.1640625" style="1" bestFit="1" customWidth="1"/>
    <col min="4" max="4" width="16" style="1" customWidth="1"/>
    <col min="5" max="5" width="17.33203125" style="1" customWidth="1"/>
    <col min="6" max="6" width="17.6640625" style="1" customWidth="1"/>
    <col min="7" max="7" width="24.33203125" style="1" customWidth="1"/>
    <col min="8" max="10" width="16" style="1" customWidth="1"/>
    <col min="11" max="16384" width="8.6640625" style="1"/>
  </cols>
  <sheetData>
    <row r="2" spans="2:11" ht="16" thickBot="1" x14ac:dyDescent="0.25"/>
    <row r="3" spans="2:11" ht="16" thickBot="1" x14ac:dyDescent="0.25">
      <c r="B3" s="31"/>
      <c r="C3" s="32"/>
      <c r="D3" s="32"/>
      <c r="E3" s="32"/>
      <c r="F3" s="32"/>
      <c r="G3" s="32"/>
      <c r="H3" s="32"/>
      <c r="I3" s="32"/>
      <c r="J3" s="32"/>
      <c r="K3" s="33"/>
    </row>
    <row r="4" spans="2:11" ht="21.75" customHeight="1" x14ac:dyDescent="0.2">
      <c r="B4" s="2"/>
      <c r="C4" s="316" t="s">
        <v>293</v>
      </c>
      <c r="D4" s="317"/>
      <c r="E4" s="317"/>
      <c r="F4" s="317"/>
      <c r="G4" s="317"/>
      <c r="H4" s="317"/>
      <c r="I4" s="317"/>
      <c r="J4" s="318"/>
      <c r="K4" s="3"/>
    </row>
    <row r="5" spans="2:11" ht="46" customHeight="1" thickBot="1" x14ac:dyDescent="0.25">
      <c r="B5" s="2"/>
      <c r="C5" s="319"/>
      <c r="D5" s="320"/>
      <c r="E5" s="320"/>
      <c r="F5" s="320"/>
      <c r="G5" s="320"/>
      <c r="H5" s="320"/>
      <c r="I5" s="320"/>
      <c r="J5" s="321"/>
      <c r="K5" s="3"/>
    </row>
    <row r="6" spans="2:11" ht="15" customHeight="1" x14ac:dyDescent="0.2">
      <c r="B6" s="2"/>
      <c r="C6" s="325" t="s">
        <v>168</v>
      </c>
      <c r="D6" s="325"/>
      <c r="E6" s="325"/>
      <c r="F6" s="325"/>
      <c r="G6" s="325"/>
      <c r="H6" s="325"/>
      <c r="I6" s="325"/>
      <c r="J6" s="325"/>
      <c r="K6" s="3"/>
    </row>
    <row r="7" spans="2:11" ht="16" thickBot="1" x14ac:dyDescent="0.25">
      <c r="B7" s="2"/>
      <c r="K7" s="3"/>
    </row>
    <row r="8" spans="2:11" ht="15" customHeight="1" thickBot="1" x14ac:dyDescent="0.25">
      <c r="B8" s="2"/>
      <c r="C8" s="322" t="s">
        <v>169</v>
      </c>
      <c r="D8" s="323"/>
      <c r="E8" s="323"/>
      <c r="F8" s="323"/>
      <c r="G8" s="323"/>
      <c r="H8" s="323"/>
      <c r="I8" s="323"/>
      <c r="J8" s="324"/>
      <c r="K8" s="3"/>
    </row>
    <row r="9" spans="2:11" ht="15" customHeight="1" thickBot="1" x14ac:dyDescent="0.25">
      <c r="B9" s="2"/>
      <c r="C9" s="13" t="s">
        <v>170</v>
      </c>
      <c r="D9" s="14" t="s">
        <v>171</v>
      </c>
      <c r="E9" s="14" t="s">
        <v>172</v>
      </c>
      <c r="F9" s="14" t="s">
        <v>173</v>
      </c>
      <c r="G9" s="14" t="s">
        <v>174</v>
      </c>
      <c r="H9" s="14" t="s">
        <v>175</v>
      </c>
      <c r="I9" s="14" t="s">
        <v>46</v>
      </c>
      <c r="J9" s="15" t="s">
        <v>59</v>
      </c>
      <c r="K9" s="3"/>
    </row>
    <row r="10" spans="2:11" ht="27.75" customHeight="1" x14ac:dyDescent="0.2">
      <c r="B10" s="2"/>
      <c r="C10" s="7">
        <f>'DCF Model'!D47</f>
        <v>217757.31967834552</v>
      </c>
      <c r="D10" s="8">
        <f>'DCF Model'!D49</f>
        <v>203395.31967834552</v>
      </c>
      <c r="E10" s="9">
        <f>'DCF Model'!D51</f>
        <v>125.32059129904222</v>
      </c>
      <c r="F10" s="10">
        <f>'DCF Model'!D53</f>
        <v>194.29549038611196</v>
      </c>
      <c r="G10" s="10">
        <f>'DCF Model'!D54</f>
        <v>179.79</v>
      </c>
      <c r="H10" s="11">
        <f>'DCF Model'!D55</f>
        <v>8.068018458263515E-2</v>
      </c>
      <c r="I10" s="11">
        <f>'DCF Model'!D8</f>
        <v>7.4999999999999997E-2</v>
      </c>
      <c r="J10" s="12" t="str">
        <f>'DCF Model'!D56</f>
        <v>BUY</v>
      </c>
      <c r="K10" s="3"/>
    </row>
    <row r="11" spans="2:11" ht="33" thickBot="1" x14ac:dyDescent="0.25">
      <c r="B11" s="2"/>
      <c r="C11" s="40" t="s">
        <v>176</v>
      </c>
      <c r="D11" s="41" t="s">
        <v>176</v>
      </c>
      <c r="E11" s="41" t="s">
        <v>177</v>
      </c>
      <c r="F11" s="41" t="s">
        <v>177</v>
      </c>
      <c r="G11" s="42" t="s">
        <v>281</v>
      </c>
      <c r="H11" s="41" t="s">
        <v>178</v>
      </c>
      <c r="I11" s="41" t="s">
        <v>179</v>
      </c>
      <c r="J11" s="43" t="s">
        <v>180</v>
      </c>
      <c r="K11" s="3"/>
    </row>
    <row r="12" spans="2:11" ht="16" thickBot="1" x14ac:dyDescent="0.25">
      <c r="B12" s="2"/>
      <c r="K12" s="3"/>
    </row>
    <row r="13" spans="2:11" ht="15" customHeight="1" thickBot="1" x14ac:dyDescent="0.25">
      <c r="B13" s="2"/>
      <c r="C13" s="322" t="s">
        <v>181</v>
      </c>
      <c r="D13" s="323"/>
      <c r="E13" s="323"/>
      <c r="F13" s="323"/>
      <c r="G13" s="323"/>
      <c r="H13" s="323"/>
      <c r="I13" s="324"/>
      <c r="J13" s="6"/>
      <c r="K13" s="3"/>
    </row>
    <row r="14" spans="2:11" ht="15" customHeight="1" thickBot="1" x14ac:dyDescent="0.25">
      <c r="B14" s="2"/>
      <c r="C14" s="16" t="s">
        <v>282</v>
      </c>
      <c r="D14" s="17" t="s">
        <v>182</v>
      </c>
      <c r="E14" s="17" t="s">
        <v>183</v>
      </c>
      <c r="F14" s="17" t="s">
        <v>184</v>
      </c>
      <c r="G14" s="17" t="s">
        <v>185</v>
      </c>
      <c r="H14" s="17" t="s">
        <v>186</v>
      </c>
      <c r="I14" s="18" t="s">
        <v>187</v>
      </c>
      <c r="K14" s="3"/>
    </row>
    <row r="15" spans="2:11" ht="17.25" customHeight="1" x14ac:dyDescent="0.2">
      <c r="B15" s="2"/>
      <c r="C15" s="44" t="s">
        <v>188</v>
      </c>
      <c r="D15" s="45">
        <v>63495</v>
      </c>
      <c r="E15" s="45">
        <v>55554</v>
      </c>
      <c r="F15" s="45">
        <v>54041</v>
      </c>
      <c r="G15" s="45">
        <v>53658</v>
      </c>
      <c r="H15" s="45">
        <v>57638</v>
      </c>
      <c r="I15" s="46" t="s">
        <v>189</v>
      </c>
      <c r="K15" s="3"/>
    </row>
    <row r="16" spans="2:11" ht="17.25" customHeight="1" x14ac:dyDescent="0.2">
      <c r="B16" s="2"/>
      <c r="C16" s="47" t="s">
        <v>190</v>
      </c>
      <c r="D16" s="48">
        <v>37720</v>
      </c>
      <c r="E16" s="48">
        <v>26272</v>
      </c>
      <c r="F16" s="48">
        <v>23892</v>
      </c>
      <c r="G16" s="48">
        <v>23314</v>
      </c>
      <c r="H16" s="48">
        <v>25363</v>
      </c>
      <c r="I16" s="49" t="s">
        <v>189</v>
      </c>
      <c r="K16" s="3"/>
    </row>
    <row r="17" spans="2:11" ht="17.25" customHeight="1" x14ac:dyDescent="0.2">
      <c r="B17" s="2"/>
      <c r="C17" s="22" t="s">
        <v>191</v>
      </c>
      <c r="D17" s="50">
        <v>21094</v>
      </c>
      <c r="E17" s="50">
        <v>12420</v>
      </c>
      <c r="F17" s="50">
        <v>10058</v>
      </c>
      <c r="G17" s="50">
        <v>11552</v>
      </c>
      <c r="H17" s="50">
        <v>9966</v>
      </c>
      <c r="I17" s="51" t="s">
        <v>192</v>
      </c>
      <c r="K17" s="3"/>
    </row>
    <row r="18" spans="2:11" ht="17.25" customHeight="1" x14ac:dyDescent="0.2">
      <c r="B18" s="2"/>
      <c r="C18" s="47" t="s">
        <v>193</v>
      </c>
      <c r="D18" s="48">
        <v>17664</v>
      </c>
      <c r="E18" s="48">
        <v>9010</v>
      </c>
      <c r="F18" s="48">
        <v>7657</v>
      </c>
      <c r="G18" s="48">
        <v>5553</v>
      </c>
      <c r="H18" s="48">
        <v>4025</v>
      </c>
      <c r="I18" s="52" t="s">
        <v>192</v>
      </c>
      <c r="K18" s="3"/>
    </row>
    <row r="19" spans="2:11" ht="17.25" customHeight="1" thickBot="1" x14ac:dyDescent="0.25">
      <c r="B19" s="2"/>
      <c r="C19" s="53" t="s">
        <v>194</v>
      </c>
      <c r="D19" s="54">
        <v>-1576</v>
      </c>
      <c r="E19" s="54">
        <v>4189</v>
      </c>
      <c r="F19" s="54">
        <v>4231</v>
      </c>
      <c r="G19" s="54">
        <v>5491</v>
      </c>
      <c r="H19" s="54">
        <v>14362</v>
      </c>
      <c r="I19" s="55" t="s">
        <v>189</v>
      </c>
      <c r="K19" s="3"/>
    </row>
    <row r="20" spans="2:11" ht="19" customHeight="1" thickBot="1" x14ac:dyDescent="0.25">
      <c r="B20" s="2"/>
      <c r="K20" s="3"/>
    </row>
    <row r="21" spans="2:11" ht="15" customHeight="1" thickBot="1" x14ac:dyDescent="0.25">
      <c r="B21" s="2"/>
      <c r="C21" s="322" t="s">
        <v>195</v>
      </c>
      <c r="D21" s="323"/>
      <c r="E21" s="323"/>
      <c r="F21" s="323"/>
      <c r="G21" s="323"/>
      <c r="H21" s="324"/>
      <c r="I21" s="6"/>
      <c r="J21" s="6"/>
      <c r="K21" s="3"/>
    </row>
    <row r="22" spans="2:11" ht="15" customHeight="1" thickBot="1" x14ac:dyDescent="0.25">
      <c r="B22" s="2"/>
      <c r="C22" s="16" t="s">
        <v>196</v>
      </c>
      <c r="D22" s="17" t="s">
        <v>197</v>
      </c>
      <c r="E22" s="17" t="s">
        <v>198</v>
      </c>
      <c r="F22" s="17" t="s">
        <v>59</v>
      </c>
      <c r="G22" s="308" t="s">
        <v>199</v>
      </c>
      <c r="H22" s="309"/>
      <c r="K22" s="3"/>
    </row>
    <row r="23" spans="2:11" ht="15" customHeight="1" x14ac:dyDescent="0.2">
      <c r="B23" s="2"/>
      <c r="C23" s="27" t="s">
        <v>43</v>
      </c>
      <c r="D23" s="28">
        <v>73.239999999999995</v>
      </c>
      <c r="E23" s="29">
        <v>-0.59260000000000002</v>
      </c>
      <c r="F23" s="30" t="s">
        <v>18</v>
      </c>
      <c r="G23" s="310" t="s">
        <v>200</v>
      </c>
      <c r="H23" s="311"/>
      <c r="K23" s="3"/>
    </row>
    <row r="24" spans="2:11" ht="15" customHeight="1" x14ac:dyDescent="0.2">
      <c r="B24" s="2"/>
      <c r="C24" s="22" t="s">
        <v>44</v>
      </c>
      <c r="D24" s="19">
        <v>195.96</v>
      </c>
      <c r="E24" s="20">
        <v>8.9899999999999994E-2</v>
      </c>
      <c r="F24" s="21" t="s">
        <v>60</v>
      </c>
      <c r="G24" s="312" t="s">
        <v>201</v>
      </c>
      <c r="H24" s="313"/>
      <c r="K24" s="3"/>
    </row>
    <row r="25" spans="2:11" ht="15" customHeight="1" thickBot="1" x14ac:dyDescent="0.25">
      <c r="B25" s="2"/>
      <c r="C25" s="23" t="s">
        <v>45</v>
      </c>
      <c r="D25" s="24">
        <v>370.98</v>
      </c>
      <c r="E25" s="25">
        <v>1.0633999999999999</v>
      </c>
      <c r="F25" s="26" t="s">
        <v>60</v>
      </c>
      <c r="G25" s="314" t="s">
        <v>202</v>
      </c>
      <c r="H25" s="315"/>
      <c r="K25" s="3"/>
    </row>
    <row r="26" spans="2:11" ht="16" thickBot="1" x14ac:dyDescent="0.25">
      <c r="B26" s="34"/>
      <c r="C26" s="4"/>
      <c r="D26" s="4"/>
      <c r="E26" s="4"/>
      <c r="F26" s="4"/>
      <c r="G26" s="4"/>
      <c r="H26" s="4"/>
      <c r="I26" s="4"/>
      <c r="J26" s="4"/>
      <c r="K26" s="5"/>
    </row>
  </sheetData>
  <mergeCells count="9">
    <mergeCell ref="G22:H22"/>
    <mergeCell ref="G23:H23"/>
    <mergeCell ref="G24:H24"/>
    <mergeCell ref="G25:H25"/>
    <mergeCell ref="C4:J5"/>
    <mergeCell ref="C13:I13"/>
    <mergeCell ref="C21:H21"/>
    <mergeCell ref="C6:J6"/>
    <mergeCell ref="C8:J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6"/>
  <sheetViews>
    <sheetView showGridLines="0" zoomScaleNormal="100" workbookViewId="0">
      <selection activeCell="J7" sqref="J7"/>
    </sheetView>
  </sheetViews>
  <sheetFormatPr baseColWidth="10" defaultColWidth="8.6640625" defaultRowHeight="15" x14ac:dyDescent="0.2"/>
  <cols>
    <col min="1" max="2" width="8.6640625" style="1"/>
    <col min="3" max="3" width="36" style="1" customWidth="1"/>
    <col min="4" max="8" width="14" style="1" customWidth="1"/>
    <col min="9" max="10" width="55" style="1" customWidth="1"/>
    <col min="11" max="16384" width="8.6640625" style="1"/>
  </cols>
  <sheetData>
    <row r="1" spans="2:11" ht="16" thickBot="1" x14ac:dyDescent="0.25"/>
    <row r="2" spans="2:11" x14ac:dyDescent="0.2">
      <c r="B2" s="31"/>
      <c r="C2" s="32"/>
      <c r="D2" s="32"/>
      <c r="E2" s="32"/>
      <c r="F2" s="32"/>
      <c r="G2" s="32"/>
      <c r="H2" s="32"/>
      <c r="I2" s="32"/>
      <c r="J2" s="32"/>
      <c r="K2" s="33"/>
    </row>
    <row r="3" spans="2:11" ht="19.5" customHeight="1" x14ac:dyDescent="0.2">
      <c r="B3" s="2"/>
      <c r="C3" s="329" t="s">
        <v>203</v>
      </c>
      <c r="D3" s="329"/>
      <c r="E3" s="329"/>
      <c r="F3" s="329"/>
      <c r="G3" s="329"/>
      <c r="H3" s="329"/>
      <c r="I3" s="329"/>
      <c r="J3" s="297"/>
      <c r="K3" s="3"/>
    </row>
    <row r="4" spans="2:11" ht="15" customHeight="1" x14ac:dyDescent="0.2">
      <c r="B4" s="2"/>
      <c r="C4" s="325" t="s">
        <v>284</v>
      </c>
      <c r="D4" s="325"/>
      <c r="E4" s="325"/>
      <c r="F4" s="325"/>
      <c r="G4" s="325"/>
      <c r="H4" s="325"/>
      <c r="I4" s="325"/>
      <c r="J4" s="94"/>
      <c r="K4" s="3"/>
    </row>
    <row r="5" spans="2:11" ht="16" thickBot="1" x14ac:dyDescent="0.25">
      <c r="B5" s="2"/>
      <c r="K5" s="3"/>
    </row>
    <row r="6" spans="2:11" ht="15" customHeight="1" thickBot="1" x14ac:dyDescent="0.25">
      <c r="B6" s="2"/>
      <c r="C6" s="330" t="s">
        <v>204</v>
      </c>
      <c r="D6" s="331"/>
      <c r="E6" s="331"/>
      <c r="F6" s="331"/>
      <c r="G6" s="331"/>
      <c r="H6" s="331"/>
      <c r="I6" s="332"/>
      <c r="J6" s="140"/>
      <c r="K6" s="3"/>
    </row>
    <row r="7" spans="2:11" ht="15" customHeight="1" thickBot="1" x14ac:dyDescent="0.25">
      <c r="B7" s="2"/>
      <c r="C7" s="298" t="s">
        <v>283</v>
      </c>
      <c r="D7" s="17" t="s">
        <v>182</v>
      </c>
      <c r="E7" s="17" t="s">
        <v>183</v>
      </c>
      <c r="F7" s="17" t="s">
        <v>184</v>
      </c>
      <c r="G7" s="17" t="s">
        <v>185</v>
      </c>
      <c r="H7" s="17" t="s">
        <v>186</v>
      </c>
      <c r="I7" s="299" t="s">
        <v>205</v>
      </c>
      <c r="J7" s="179"/>
      <c r="K7" s="3"/>
    </row>
    <row r="8" spans="2:11" ht="15" customHeight="1" x14ac:dyDescent="0.2">
      <c r="B8" s="2"/>
      <c r="C8" s="300" t="s">
        <v>188</v>
      </c>
      <c r="D8" s="36">
        <v>63495</v>
      </c>
      <c r="E8" s="36">
        <v>55554</v>
      </c>
      <c r="F8" s="36">
        <v>54041</v>
      </c>
      <c r="G8" s="36">
        <v>53658</v>
      </c>
      <c r="H8" s="36">
        <v>57638</v>
      </c>
      <c r="I8" s="301" t="s">
        <v>206</v>
      </c>
      <c r="J8" s="296"/>
      <c r="K8" s="3"/>
    </row>
    <row r="9" spans="2:11" ht="15" customHeight="1" x14ac:dyDescent="0.2">
      <c r="B9" s="2"/>
      <c r="C9" s="302" t="s">
        <v>190</v>
      </c>
      <c r="D9" s="37">
        <v>37720</v>
      </c>
      <c r="E9" s="37">
        <v>26272</v>
      </c>
      <c r="F9" s="37">
        <v>23892</v>
      </c>
      <c r="G9" s="37">
        <v>23314</v>
      </c>
      <c r="H9" s="37">
        <v>25363</v>
      </c>
      <c r="I9" s="303" t="s">
        <v>207</v>
      </c>
      <c r="J9" s="296"/>
      <c r="K9" s="3"/>
    </row>
    <row r="10" spans="2:11" ht="15" customHeight="1" x14ac:dyDescent="0.2">
      <c r="B10" s="2"/>
      <c r="C10" s="304" t="s">
        <v>208</v>
      </c>
      <c r="D10" s="38">
        <f>D9/D8</f>
        <v>0.59406252460823683</v>
      </c>
      <c r="E10" s="38">
        <f>E9/E8</f>
        <v>0.47290924145876084</v>
      </c>
      <c r="F10" s="38">
        <f>F9/F8</f>
        <v>0.44210876926777815</v>
      </c>
      <c r="G10" s="38">
        <f>G9/G8</f>
        <v>0.43449252674344924</v>
      </c>
      <c r="H10" s="38">
        <f>H9/H8</f>
        <v>0.44003955723654531</v>
      </c>
      <c r="I10" s="303" t="s">
        <v>209</v>
      </c>
      <c r="K10" s="3"/>
    </row>
    <row r="11" spans="2:11" ht="15" customHeight="1" x14ac:dyDescent="0.2">
      <c r="B11" s="2"/>
      <c r="C11" s="302" t="s">
        <v>210</v>
      </c>
      <c r="D11" s="37">
        <v>19802</v>
      </c>
      <c r="E11" s="37">
        <v>14167</v>
      </c>
      <c r="F11" s="37">
        <v>12001</v>
      </c>
      <c r="G11" s="37">
        <v>10896</v>
      </c>
      <c r="H11" s="37">
        <v>11876</v>
      </c>
      <c r="I11" s="303" t="s">
        <v>207</v>
      </c>
      <c r="J11" s="296"/>
      <c r="K11" s="3"/>
    </row>
    <row r="12" spans="2:11" ht="15" customHeight="1" x14ac:dyDescent="0.2">
      <c r="B12" s="2"/>
      <c r="C12" s="304" t="s">
        <v>211</v>
      </c>
      <c r="D12" s="38">
        <f>D11/D8</f>
        <v>0.31186707614772818</v>
      </c>
      <c r="E12" s="38">
        <f>E11/E8</f>
        <v>0.25501314036793032</v>
      </c>
      <c r="F12" s="38">
        <f>F11/F8</f>
        <v>0.22207213041949631</v>
      </c>
      <c r="G12" s="38">
        <f>G11/G8</f>
        <v>0.2030638488203064</v>
      </c>
      <c r="H12" s="38">
        <f>H11/H8</f>
        <v>0.20604462333876955</v>
      </c>
      <c r="I12" s="303" t="s">
        <v>212</v>
      </c>
      <c r="J12" s="296"/>
      <c r="K12" s="3"/>
    </row>
    <row r="13" spans="2:11" ht="32" x14ac:dyDescent="0.2">
      <c r="B13" s="2"/>
      <c r="C13" s="302" t="s">
        <v>213</v>
      </c>
      <c r="D13" s="37">
        <v>21094</v>
      </c>
      <c r="E13" s="37">
        <v>12420</v>
      </c>
      <c r="F13" s="37">
        <v>10058</v>
      </c>
      <c r="G13" s="37">
        <v>11552</v>
      </c>
      <c r="H13" s="37">
        <v>9966</v>
      </c>
      <c r="I13" s="303" t="s">
        <v>214</v>
      </c>
      <c r="J13" s="296"/>
      <c r="K13" s="3"/>
    </row>
    <row r="14" spans="2:11" ht="15" customHeight="1" x14ac:dyDescent="0.2">
      <c r="B14" s="2"/>
      <c r="C14" s="304" t="s">
        <v>215</v>
      </c>
      <c r="D14" s="38">
        <f>D13/D8</f>
        <v>0.33221513505000394</v>
      </c>
      <c r="E14" s="38">
        <f>E13/E8</f>
        <v>0.22356625985527595</v>
      </c>
      <c r="F14" s="38">
        <f>F13/F8</f>
        <v>0.18611794748431745</v>
      </c>
      <c r="G14" s="38">
        <f>G13/G8</f>
        <v>0.21528942562152895</v>
      </c>
      <c r="H14" s="38">
        <f>H13/H8</f>
        <v>0.17290676289947604</v>
      </c>
      <c r="I14" s="303" t="s">
        <v>216</v>
      </c>
      <c r="J14" s="296"/>
      <c r="K14" s="3"/>
    </row>
    <row r="15" spans="2:11" ht="15" customHeight="1" x14ac:dyDescent="0.2">
      <c r="B15" s="2"/>
      <c r="C15" s="302" t="s">
        <v>217</v>
      </c>
      <c r="D15" s="37">
        <v>21380</v>
      </c>
      <c r="E15" s="37">
        <v>13275</v>
      </c>
      <c r="F15" s="37">
        <v>11763</v>
      </c>
      <c r="G15" s="37">
        <v>10872</v>
      </c>
      <c r="H15" s="37">
        <v>10867</v>
      </c>
      <c r="I15" s="303" t="s">
        <v>207</v>
      </c>
      <c r="J15" s="296"/>
      <c r="K15" s="3"/>
    </row>
    <row r="16" spans="2:11" ht="15" customHeight="1" x14ac:dyDescent="0.2">
      <c r="B16" s="2"/>
      <c r="C16" s="304" t="s">
        <v>218</v>
      </c>
      <c r="D16" s="39">
        <v>1299</v>
      </c>
      <c r="E16" s="39">
        <v>766.9</v>
      </c>
      <c r="F16" s="39">
        <v>622.79999999999995</v>
      </c>
      <c r="G16" s="39">
        <v>711.7</v>
      </c>
      <c r="H16" s="39">
        <v>613.70000000000005</v>
      </c>
      <c r="I16" s="303" t="s">
        <v>219</v>
      </c>
      <c r="J16" s="296"/>
      <c r="K16" s="3"/>
    </row>
    <row r="17" spans="1:11" ht="15" customHeight="1" thickBot="1" x14ac:dyDescent="0.25">
      <c r="B17" s="2"/>
      <c r="C17" s="305" t="s">
        <v>220</v>
      </c>
      <c r="D17" s="306">
        <v>1040</v>
      </c>
      <c r="E17" s="306">
        <v>492</v>
      </c>
      <c r="F17" s="306">
        <v>435</v>
      </c>
      <c r="G17" s="306">
        <v>402</v>
      </c>
      <c r="H17" s="306">
        <v>402</v>
      </c>
      <c r="I17" s="307" t="s">
        <v>207</v>
      </c>
      <c r="J17" s="296"/>
      <c r="K17" s="3"/>
    </row>
    <row r="18" spans="1:11" s="60" customFormat="1" ht="15" customHeight="1" x14ac:dyDescent="0.2">
      <c r="A18" s="1"/>
      <c r="B18" s="2"/>
      <c r="C18" s="56"/>
      <c r="D18" s="57"/>
      <c r="E18" s="57"/>
      <c r="F18" s="57"/>
      <c r="G18" s="57"/>
      <c r="H18" s="57"/>
      <c r="I18" s="58"/>
      <c r="J18" s="58"/>
      <c r="K18" s="59"/>
    </row>
    <row r="19" spans="1:11" s="60" customFormat="1" ht="6" customHeight="1" thickBot="1" x14ac:dyDescent="0.25">
      <c r="A19" s="1"/>
      <c r="B19" s="2"/>
      <c r="K19" s="59"/>
    </row>
    <row r="20" spans="1:11" ht="15" customHeight="1" thickBot="1" x14ac:dyDescent="0.25">
      <c r="B20" s="2"/>
      <c r="C20" s="322" t="s">
        <v>221</v>
      </c>
      <c r="D20" s="323"/>
      <c r="E20" s="323"/>
      <c r="F20" s="323"/>
      <c r="G20" s="323"/>
      <c r="H20" s="324"/>
      <c r="K20" s="3"/>
    </row>
    <row r="21" spans="1:11" ht="15" customHeight="1" thickBot="1" x14ac:dyDescent="0.25">
      <c r="B21" s="2"/>
      <c r="C21" s="16" t="s">
        <v>283</v>
      </c>
      <c r="D21" s="17" t="s">
        <v>182</v>
      </c>
      <c r="E21" s="17" t="s">
        <v>183</v>
      </c>
      <c r="F21" s="17" t="s">
        <v>184</v>
      </c>
      <c r="G21" s="17" t="s">
        <v>185</v>
      </c>
      <c r="H21" s="18" t="s">
        <v>186</v>
      </c>
      <c r="K21" s="3"/>
    </row>
    <row r="22" spans="1:11" ht="15" customHeight="1" x14ac:dyDescent="0.2">
      <c r="B22" s="2"/>
      <c r="C22" s="63" t="s">
        <v>222</v>
      </c>
      <c r="D22" s="45">
        <v>25345</v>
      </c>
      <c r="E22" s="45">
        <v>16134</v>
      </c>
      <c r="F22" s="45">
        <v>15160</v>
      </c>
      <c r="G22" s="45">
        <v>15599</v>
      </c>
      <c r="H22" s="64">
        <v>16832</v>
      </c>
      <c r="K22" s="3"/>
    </row>
    <row r="23" spans="1:11" ht="15" customHeight="1" x14ac:dyDescent="0.2">
      <c r="B23" s="2"/>
      <c r="C23" s="65" t="s">
        <v>223</v>
      </c>
      <c r="D23" s="48">
        <v>7384</v>
      </c>
      <c r="E23" s="48">
        <v>6750</v>
      </c>
      <c r="F23" s="48">
        <v>7086</v>
      </c>
      <c r="G23" s="48">
        <v>9621</v>
      </c>
      <c r="H23" s="66">
        <v>12335</v>
      </c>
      <c r="K23" s="3"/>
    </row>
    <row r="24" spans="1:11" ht="15" customHeight="1" x14ac:dyDescent="0.2">
      <c r="B24" s="2"/>
      <c r="C24" s="67" t="s">
        <v>224</v>
      </c>
      <c r="D24" s="50">
        <v>17664</v>
      </c>
      <c r="E24" s="50">
        <v>9010</v>
      </c>
      <c r="F24" s="50">
        <v>7657</v>
      </c>
      <c r="G24" s="50">
        <v>5553</v>
      </c>
      <c r="H24" s="68">
        <v>4025</v>
      </c>
      <c r="K24" s="3"/>
    </row>
    <row r="25" spans="1:11" ht="15" customHeight="1" x14ac:dyDescent="0.2">
      <c r="B25" s="2"/>
      <c r="C25" s="65" t="s">
        <v>225</v>
      </c>
      <c r="D25" s="48">
        <v>16800</v>
      </c>
      <c r="E25" s="48">
        <v>13046</v>
      </c>
      <c r="F25" s="48">
        <v>7656</v>
      </c>
      <c r="G25" s="48">
        <v>6500</v>
      </c>
      <c r="H25" s="66">
        <v>6500</v>
      </c>
      <c r="K25" s="3"/>
    </row>
    <row r="26" spans="1:11" ht="15" customHeight="1" thickBot="1" x14ac:dyDescent="0.25">
      <c r="B26" s="2"/>
      <c r="C26" s="69" t="s">
        <v>226</v>
      </c>
      <c r="D26" s="70">
        <f>D24/D22</f>
        <v>0.69694219767212473</v>
      </c>
      <c r="E26" s="70">
        <f>E24/E22</f>
        <v>0.55844799801661094</v>
      </c>
      <c r="F26" s="70">
        <f>F24/F22</f>
        <v>0.50507915567282324</v>
      </c>
      <c r="G26" s="70">
        <f>G24/G22</f>
        <v>0.35598435797166483</v>
      </c>
      <c r="H26" s="71">
        <f>H24/H22</f>
        <v>0.23912785171102663</v>
      </c>
      <c r="K26" s="3"/>
    </row>
    <row r="27" spans="1:11" ht="15" customHeight="1" x14ac:dyDescent="0.2">
      <c r="B27" s="2"/>
      <c r="C27" s="61"/>
      <c r="D27" s="62"/>
      <c r="E27" s="62"/>
      <c r="F27" s="62"/>
      <c r="G27" s="62"/>
      <c r="H27" s="62"/>
      <c r="K27" s="3"/>
    </row>
    <row r="28" spans="1:11" ht="6" customHeight="1" thickBot="1" x14ac:dyDescent="0.25">
      <c r="B28" s="2"/>
      <c r="C28" s="60"/>
      <c r="D28" s="60"/>
      <c r="E28" s="60"/>
      <c r="F28" s="60"/>
      <c r="G28" s="60"/>
      <c r="H28" s="60"/>
      <c r="K28" s="3"/>
    </row>
    <row r="29" spans="1:11" ht="15" customHeight="1" thickBot="1" x14ac:dyDescent="0.25">
      <c r="B29" s="2"/>
      <c r="C29" s="322" t="s">
        <v>227</v>
      </c>
      <c r="D29" s="323"/>
      <c r="E29" s="323"/>
      <c r="F29" s="323"/>
      <c r="G29" s="323"/>
      <c r="H29" s="324"/>
      <c r="K29" s="3"/>
    </row>
    <row r="30" spans="1:11" ht="15" customHeight="1" thickBot="1" x14ac:dyDescent="0.25">
      <c r="B30" s="2"/>
      <c r="C30" s="16" t="s">
        <v>283</v>
      </c>
      <c r="D30" s="17" t="s">
        <v>182</v>
      </c>
      <c r="E30" s="17" t="s">
        <v>183</v>
      </c>
      <c r="F30" s="17" t="s">
        <v>184</v>
      </c>
      <c r="G30" s="17" t="s">
        <v>185</v>
      </c>
      <c r="H30" s="18" t="s">
        <v>186</v>
      </c>
      <c r="K30" s="3"/>
    </row>
    <row r="31" spans="1:11" ht="15" customHeight="1" x14ac:dyDescent="0.2">
      <c r="B31" s="2"/>
      <c r="C31" s="63" t="s">
        <v>228</v>
      </c>
      <c r="D31" s="45">
        <v>98063</v>
      </c>
      <c r="E31" s="45">
        <v>93099</v>
      </c>
      <c r="F31" s="45">
        <v>89993</v>
      </c>
      <c r="G31" s="45">
        <v>99095</v>
      </c>
      <c r="H31" s="64">
        <v>117668</v>
      </c>
      <c r="K31" s="3"/>
    </row>
    <row r="32" spans="1:11" ht="15" customHeight="1" x14ac:dyDescent="0.2">
      <c r="B32" s="2"/>
      <c r="C32" s="65" t="s">
        <v>229</v>
      </c>
      <c r="D32" s="48">
        <v>46578</v>
      </c>
      <c r="E32" s="48">
        <v>47012</v>
      </c>
      <c r="F32" s="48">
        <v>46913</v>
      </c>
      <c r="G32" s="48">
        <v>54020</v>
      </c>
      <c r="H32" s="66">
        <v>67024</v>
      </c>
      <c r="K32" s="3"/>
    </row>
    <row r="33" spans="2:11" ht="15" customHeight="1" x14ac:dyDescent="0.2">
      <c r="B33" s="2"/>
      <c r="C33" s="67" t="s">
        <v>230</v>
      </c>
      <c r="D33" s="50">
        <v>16434</v>
      </c>
      <c r="E33" s="50">
        <v>14513</v>
      </c>
      <c r="F33" s="50">
        <v>13741</v>
      </c>
      <c r="G33" s="50">
        <v>16889</v>
      </c>
      <c r="H33" s="68">
        <v>23517</v>
      </c>
      <c r="K33" s="3"/>
    </row>
    <row r="34" spans="2:11" ht="15" customHeight="1" x14ac:dyDescent="0.2">
      <c r="B34" s="2"/>
      <c r="C34" s="65" t="s">
        <v>231</v>
      </c>
      <c r="D34" s="48">
        <v>-1576</v>
      </c>
      <c r="E34" s="48">
        <v>4189</v>
      </c>
      <c r="F34" s="48">
        <v>4231</v>
      </c>
      <c r="G34" s="48">
        <v>5491</v>
      </c>
      <c r="H34" s="66">
        <v>14362</v>
      </c>
      <c r="K34" s="3"/>
    </row>
    <row r="35" spans="2:11" ht="15" customHeight="1" x14ac:dyDescent="0.2">
      <c r="B35" s="2"/>
      <c r="C35" s="67" t="s">
        <v>232</v>
      </c>
      <c r="D35" s="72">
        <f>D34/D9</f>
        <v>-4.1781548250265109E-2</v>
      </c>
      <c r="E35" s="72">
        <f>E34/E9</f>
        <v>0.1594473203410475</v>
      </c>
      <c r="F35" s="72">
        <f>F34/F9</f>
        <v>0.17708856521011218</v>
      </c>
      <c r="G35" s="72">
        <f>G34/G9</f>
        <v>0.23552371965342714</v>
      </c>
      <c r="H35" s="73">
        <f>H34/H9</f>
        <v>0.56625793478689435</v>
      </c>
      <c r="K35" s="3"/>
    </row>
    <row r="36" spans="2:11" ht="15" customHeight="1" thickBot="1" x14ac:dyDescent="0.25">
      <c r="B36" s="2"/>
      <c r="C36" s="40" t="s">
        <v>233</v>
      </c>
      <c r="D36" s="74">
        <f>D32/D31</f>
        <v>0.47498036976229568</v>
      </c>
      <c r="E36" s="74">
        <f>E32/E31</f>
        <v>0.50496782994446776</v>
      </c>
      <c r="F36" s="74">
        <f>F32/F31</f>
        <v>0.52129610080784061</v>
      </c>
      <c r="G36" s="74">
        <f>G32/G31</f>
        <v>0.54513345779302691</v>
      </c>
      <c r="H36" s="75">
        <f>H32/H31</f>
        <v>0.56960261073528917</v>
      </c>
      <c r="K36" s="3"/>
    </row>
    <row r="37" spans="2:11" ht="15" customHeight="1" x14ac:dyDescent="0.2">
      <c r="B37" s="2"/>
      <c r="C37" s="76"/>
      <c r="D37" s="77"/>
      <c r="E37" s="77"/>
      <c r="F37" s="77"/>
      <c r="G37" s="77"/>
      <c r="H37" s="77"/>
      <c r="K37" s="3"/>
    </row>
    <row r="38" spans="2:11" ht="6" customHeight="1" thickBot="1" x14ac:dyDescent="0.25">
      <c r="B38" s="2"/>
      <c r="K38" s="3"/>
    </row>
    <row r="39" spans="2:11" ht="15" customHeight="1" thickBot="1" x14ac:dyDescent="0.25">
      <c r="B39" s="2"/>
      <c r="C39" s="322" t="s">
        <v>234</v>
      </c>
      <c r="D39" s="323"/>
      <c r="E39" s="323"/>
      <c r="F39" s="323"/>
      <c r="G39" s="323"/>
      <c r="H39" s="324"/>
      <c r="K39" s="3"/>
    </row>
    <row r="40" spans="2:11" ht="15" customHeight="1" thickBot="1" x14ac:dyDescent="0.25">
      <c r="B40" s="2"/>
      <c r="C40" s="16" t="s">
        <v>283</v>
      </c>
      <c r="D40" s="17" t="s">
        <v>182</v>
      </c>
      <c r="E40" s="17" t="s">
        <v>183</v>
      </c>
      <c r="F40" s="17" t="s">
        <v>184</v>
      </c>
      <c r="G40" s="17" t="s">
        <v>185</v>
      </c>
      <c r="H40" s="18" t="s">
        <v>186</v>
      </c>
      <c r="K40" s="3"/>
    </row>
    <row r="41" spans="2:11" ht="15" customHeight="1" x14ac:dyDescent="0.2">
      <c r="B41" s="2"/>
      <c r="C41" s="63" t="s">
        <v>235</v>
      </c>
      <c r="D41" s="78">
        <v>0.44</v>
      </c>
      <c r="E41" s="78">
        <v>0.25</v>
      </c>
      <c r="F41" s="78">
        <v>0.2</v>
      </c>
      <c r="G41" s="78">
        <v>0.18</v>
      </c>
      <c r="H41" s="79">
        <v>0.16</v>
      </c>
      <c r="K41" s="3"/>
    </row>
    <row r="42" spans="2:11" ht="15" customHeight="1" x14ac:dyDescent="0.2">
      <c r="B42" s="2"/>
      <c r="C42" s="65" t="s">
        <v>236</v>
      </c>
      <c r="D42" s="80"/>
      <c r="E42" s="80">
        <f t="shared" ref="E42:H43" si="0">(E8-D8)/D8</f>
        <v>-0.12506496574533427</v>
      </c>
      <c r="F42" s="80">
        <f t="shared" si="0"/>
        <v>-2.7234762573352053E-2</v>
      </c>
      <c r="G42" s="80">
        <f t="shared" si="0"/>
        <v>-7.0872115615921247E-3</v>
      </c>
      <c r="H42" s="81">
        <f t="shared" si="0"/>
        <v>7.417346900741735E-2</v>
      </c>
      <c r="K42" s="3"/>
    </row>
    <row r="43" spans="2:11" ht="15" customHeight="1" x14ac:dyDescent="0.2">
      <c r="B43" s="2"/>
      <c r="C43" s="67" t="s">
        <v>237</v>
      </c>
      <c r="D43" s="20"/>
      <c r="E43" s="20">
        <f t="shared" si="0"/>
        <v>-0.30349946977730646</v>
      </c>
      <c r="F43" s="20">
        <f t="shared" si="0"/>
        <v>-9.0590742996345924E-2</v>
      </c>
      <c r="G43" s="20">
        <f t="shared" si="0"/>
        <v>-2.4192198225347395E-2</v>
      </c>
      <c r="H43" s="82">
        <f t="shared" si="0"/>
        <v>8.7887106459637987E-2</v>
      </c>
      <c r="K43" s="3"/>
    </row>
    <row r="44" spans="2:11" ht="15" customHeight="1" thickBot="1" x14ac:dyDescent="0.25">
      <c r="B44" s="2"/>
      <c r="C44" s="40" t="s">
        <v>238</v>
      </c>
      <c r="D44" s="74"/>
      <c r="E44" s="74">
        <f>(E24-D24)/D24</f>
        <v>-0.48992300724637683</v>
      </c>
      <c r="F44" s="74">
        <f>(F24-E24)/E24</f>
        <v>-0.15016648168701444</v>
      </c>
      <c r="G44" s="74">
        <f>(G24-F24)/F24</f>
        <v>-0.27478124591876713</v>
      </c>
      <c r="H44" s="75">
        <f>(H24-G24)/G24</f>
        <v>-0.27516657662524763</v>
      </c>
      <c r="K44" s="3"/>
    </row>
    <row r="45" spans="2:11" ht="15" customHeight="1" thickBot="1" x14ac:dyDescent="0.25">
      <c r="B45" s="2"/>
      <c r="C45" s="137"/>
      <c r="D45" s="286"/>
      <c r="E45" s="286"/>
      <c r="F45" s="286"/>
      <c r="G45" s="286"/>
      <c r="H45" s="286"/>
      <c r="K45" s="3"/>
    </row>
    <row r="46" spans="2:11" ht="15" customHeight="1" thickBot="1" x14ac:dyDescent="0.25">
      <c r="B46" s="2"/>
      <c r="C46" s="326" t="s">
        <v>292</v>
      </c>
      <c r="D46" s="327"/>
      <c r="E46" s="328"/>
      <c r="F46" s="286"/>
      <c r="G46" s="286"/>
      <c r="H46" s="286"/>
      <c r="K46" s="3"/>
    </row>
    <row r="47" spans="2:11" ht="15" customHeight="1" thickBot="1" x14ac:dyDescent="0.25">
      <c r="B47" s="2"/>
      <c r="C47" s="293" t="s">
        <v>290</v>
      </c>
      <c r="D47" s="294" t="s">
        <v>188</v>
      </c>
      <c r="E47" s="295" t="s">
        <v>291</v>
      </c>
      <c r="F47" s="286"/>
      <c r="G47" s="286"/>
      <c r="H47" s="286"/>
      <c r="K47" s="3"/>
    </row>
    <row r="48" spans="2:11" ht="15" customHeight="1" x14ac:dyDescent="0.2">
      <c r="B48" s="2"/>
      <c r="C48" s="153" t="s">
        <v>182</v>
      </c>
      <c r="D48" s="291">
        <v>63495</v>
      </c>
      <c r="E48" s="292">
        <v>37720</v>
      </c>
      <c r="F48" s="286"/>
      <c r="G48" s="286"/>
      <c r="H48" s="286"/>
      <c r="K48" s="3"/>
    </row>
    <row r="49" spans="2:11" ht="15" customHeight="1" x14ac:dyDescent="0.2">
      <c r="B49" s="2"/>
      <c r="C49" s="152" t="s">
        <v>183</v>
      </c>
      <c r="D49" s="287">
        <v>55554</v>
      </c>
      <c r="E49" s="288">
        <v>26272</v>
      </c>
      <c r="F49" s="286"/>
      <c r="G49" s="286"/>
      <c r="H49" s="286"/>
      <c r="K49" s="3"/>
    </row>
    <row r="50" spans="2:11" ht="15" customHeight="1" x14ac:dyDescent="0.2">
      <c r="B50" s="2"/>
      <c r="C50" s="152" t="s">
        <v>184</v>
      </c>
      <c r="D50" s="287">
        <v>54041</v>
      </c>
      <c r="E50" s="288">
        <v>23892</v>
      </c>
      <c r="F50" s="286"/>
      <c r="G50" s="286"/>
      <c r="H50" s="286"/>
      <c r="K50" s="3"/>
    </row>
    <row r="51" spans="2:11" ht="15" customHeight="1" x14ac:dyDescent="0.2">
      <c r="B51" s="2"/>
      <c r="C51" s="152" t="s">
        <v>185</v>
      </c>
      <c r="D51" s="287">
        <v>53658</v>
      </c>
      <c r="E51" s="288">
        <v>23314</v>
      </c>
      <c r="F51" s="286"/>
      <c r="G51" s="286"/>
      <c r="H51" s="286"/>
      <c r="K51" s="3"/>
    </row>
    <row r="52" spans="2:11" ht="15" customHeight="1" thickBot="1" x14ac:dyDescent="0.25">
      <c r="B52" s="2"/>
      <c r="C52" s="130" t="s">
        <v>186</v>
      </c>
      <c r="D52" s="289">
        <v>57638</v>
      </c>
      <c r="E52" s="290">
        <v>25363</v>
      </c>
      <c r="F52" s="286"/>
      <c r="G52" s="286"/>
      <c r="H52" s="286"/>
      <c r="K52" s="3"/>
    </row>
    <row r="53" spans="2:11" ht="15" customHeight="1" x14ac:dyDescent="0.2">
      <c r="B53" s="2"/>
      <c r="C53" s="137"/>
      <c r="D53" s="286"/>
      <c r="E53" s="286"/>
      <c r="F53" s="286"/>
      <c r="G53" s="286"/>
      <c r="H53" s="286"/>
      <c r="K53" s="3"/>
    </row>
    <row r="54" spans="2:11" ht="15" customHeight="1" x14ac:dyDescent="0.2">
      <c r="B54" s="2"/>
      <c r="C54" s="137"/>
      <c r="D54" s="286"/>
      <c r="E54" s="286"/>
      <c r="F54" s="286"/>
      <c r="G54" s="286"/>
      <c r="H54" s="286"/>
      <c r="K54" s="3"/>
    </row>
    <row r="55" spans="2:11" ht="15" customHeight="1" x14ac:dyDescent="0.2">
      <c r="B55" s="2"/>
      <c r="C55" s="137"/>
      <c r="D55" s="286"/>
      <c r="E55" s="286"/>
      <c r="F55" s="286"/>
      <c r="G55" s="286"/>
      <c r="H55" s="286"/>
      <c r="K55" s="3"/>
    </row>
    <row r="56" spans="2:11" ht="16" thickBot="1" x14ac:dyDescent="0.25">
      <c r="B56" s="34"/>
      <c r="C56" s="83"/>
      <c r="D56" s="83"/>
      <c r="E56" s="83"/>
      <c r="F56" s="83"/>
      <c r="G56" s="83"/>
      <c r="H56" s="83"/>
      <c r="I56" s="4"/>
      <c r="J56" s="4"/>
      <c r="K56" s="5"/>
    </row>
  </sheetData>
  <mergeCells count="7">
    <mergeCell ref="C46:E46"/>
    <mergeCell ref="C39:H39"/>
    <mergeCell ref="C3:I3"/>
    <mergeCell ref="C4:I4"/>
    <mergeCell ref="C20:H20"/>
    <mergeCell ref="C29:H29"/>
    <mergeCell ref="C6:I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31"/>
  <sheetViews>
    <sheetView showGridLines="0" zoomScaleNormal="100" workbookViewId="0">
      <selection activeCell="F7" sqref="F7"/>
    </sheetView>
  </sheetViews>
  <sheetFormatPr baseColWidth="10" defaultColWidth="8.6640625" defaultRowHeight="15" x14ac:dyDescent="0.2"/>
  <cols>
    <col min="1" max="2" width="8.6640625" style="1"/>
    <col min="3" max="3" width="38" style="1" customWidth="1"/>
    <col min="4" max="4" width="16" style="1" customWidth="1"/>
    <col min="5" max="5" width="74.6640625" style="1" bestFit="1" customWidth="1"/>
    <col min="6" max="6" width="12" style="1" customWidth="1"/>
    <col min="7" max="16384" width="8.6640625" style="1"/>
  </cols>
  <sheetData>
    <row r="1" spans="2:6" ht="16" thickBot="1" x14ac:dyDescent="0.25"/>
    <row r="2" spans="2:6" x14ac:dyDescent="0.2">
      <c r="B2" s="31"/>
      <c r="C2" s="32"/>
      <c r="D2" s="32"/>
      <c r="E2" s="32"/>
      <c r="F2" s="33"/>
    </row>
    <row r="3" spans="2:6" ht="21.75" customHeight="1" x14ac:dyDescent="0.2">
      <c r="B3" s="2"/>
      <c r="C3" s="333" t="s">
        <v>239</v>
      </c>
      <c r="D3" s="334"/>
      <c r="E3" s="334"/>
      <c r="F3" s="101"/>
    </row>
    <row r="4" spans="2:6" ht="16" thickBot="1" x14ac:dyDescent="0.25">
      <c r="B4" s="2"/>
      <c r="F4" s="3"/>
    </row>
    <row r="5" spans="2:6" ht="15" customHeight="1" thickBot="1" x14ac:dyDescent="0.25">
      <c r="B5" s="2"/>
      <c r="C5" s="322" t="s">
        <v>240</v>
      </c>
      <c r="D5" s="323"/>
      <c r="E5" s="324"/>
      <c r="F5" s="102"/>
    </row>
    <row r="6" spans="2:6" ht="15" customHeight="1" thickBot="1" x14ac:dyDescent="0.25">
      <c r="B6" s="2"/>
      <c r="C6" s="16" t="s">
        <v>241</v>
      </c>
      <c r="D6" s="17" t="s">
        <v>93</v>
      </c>
      <c r="E6" s="18" t="s">
        <v>242</v>
      </c>
      <c r="F6" s="3"/>
    </row>
    <row r="7" spans="2:6" ht="15" customHeight="1" x14ac:dyDescent="0.2">
      <c r="B7" s="2"/>
      <c r="C7" s="44" t="s">
        <v>243</v>
      </c>
      <c r="D7" s="78">
        <v>4.9200000000000001E-2</v>
      </c>
      <c r="E7" s="86" t="s">
        <v>244</v>
      </c>
      <c r="F7" s="3"/>
    </row>
    <row r="8" spans="2:6" ht="15" customHeight="1" x14ac:dyDescent="0.2">
      <c r="B8" s="2"/>
      <c r="C8" s="47" t="s">
        <v>245</v>
      </c>
      <c r="D8" s="80">
        <v>0.06</v>
      </c>
      <c r="E8" s="84" t="s">
        <v>246</v>
      </c>
      <c r="F8" s="3"/>
    </row>
    <row r="9" spans="2:6" ht="15" customHeight="1" x14ac:dyDescent="0.2">
      <c r="B9" s="2"/>
      <c r="C9" s="22" t="s">
        <v>247</v>
      </c>
      <c r="D9" s="20">
        <v>0.95</v>
      </c>
      <c r="E9" s="84" t="s">
        <v>248</v>
      </c>
      <c r="F9" s="3"/>
    </row>
    <row r="10" spans="2:6" ht="15" customHeight="1" thickBot="1" x14ac:dyDescent="0.25">
      <c r="B10" s="2"/>
      <c r="C10" s="23" t="s">
        <v>249</v>
      </c>
      <c r="D10" s="25">
        <f>D7+D9*D8</f>
        <v>0.10619999999999999</v>
      </c>
      <c r="E10" s="85" t="s">
        <v>250</v>
      </c>
      <c r="F10" s="3"/>
    </row>
    <row r="11" spans="2:6" ht="16" thickBot="1" x14ac:dyDescent="0.25">
      <c r="B11" s="2"/>
      <c r="F11" s="3"/>
    </row>
    <row r="12" spans="2:6" ht="15" customHeight="1" thickBot="1" x14ac:dyDescent="0.25">
      <c r="B12" s="2"/>
      <c r="C12" s="322" t="s">
        <v>251</v>
      </c>
      <c r="D12" s="323"/>
      <c r="E12" s="324"/>
      <c r="F12" s="102"/>
    </row>
    <row r="13" spans="2:6" ht="15" customHeight="1" thickBot="1" x14ac:dyDescent="0.25">
      <c r="B13" s="2"/>
      <c r="C13" s="16" t="s">
        <v>241</v>
      </c>
      <c r="D13" s="17" t="s">
        <v>93</v>
      </c>
      <c r="E13" s="18" t="s">
        <v>242</v>
      </c>
      <c r="F13" s="3"/>
    </row>
    <row r="14" spans="2:6" ht="15" customHeight="1" x14ac:dyDescent="0.2">
      <c r="B14" s="2"/>
      <c r="C14" s="63" t="s">
        <v>252</v>
      </c>
      <c r="D14" s="78">
        <v>4.4999999999999998E-2</v>
      </c>
      <c r="E14" s="92" t="s">
        <v>253</v>
      </c>
      <c r="F14" s="3"/>
    </row>
    <row r="15" spans="2:6" ht="15" customHeight="1" x14ac:dyDescent="0.2">
      <c r="B15" s="2"/>
      <c r="C15" s="65" t="s">
        <v>254</v>
      </c>
      <c r="D15" s="80">
        <v>0.3</v>
      </c>
      <c r="E15" s="93" t="s">
        <v>255</v>
      </c>
      <c r="F15" s="3"/>
    </row>
    <row r="16" spans="2:6" ht="15" customHeight="1" thickBot="1" x14ac:dyDescent="0.25">
      <c r="B16" s="2"/>
      <c r="C16" s="91" t="s">
        <v>256</v>
      </c>
      <c r="D16" s="25">
        <f>D14*(1-D15)</f>
        <v>3.15E-2</v>
      </c>
      <c r="E16" s="43"/>
      <c r="F16" s="3"/>
    </row>
    <row r="17" spans="2:6" ht="16" thickBot="1" x14ac:dyDescent="0.25">
      <c r="B17" s="2"/>
      <c r="F17" s="3"/>
    </row>
    <row r="18" spans="2:6" ht="15" customHeight="1" thickBot="1" x14ac:dyDescent="0.25">
      <c r="B18" s="2"/>
      <c r="C18" s="322" t="s">
        <v>257</v>
      </c>
      <c r="D18" s="323"/>
      <c r="E18" s="324"/>
      <c r="F18" s="102"/>
    </row>
    <row r="19" spans="2:6" ht="15" customHeight="1" thickBot="1" x14ac:dyDescent="0.25">
      <c r="B19" s="2"/>
      <c r="C19" s="16" t="s">
        <v>241</v>
      </c>
      <c r="D19" s="17" t="s">
        <v>258</v>
      </c>
      <c r="E19" s="18" t="s">
        <v>242</v>
      </c>
      <c r="F19" s="3"/>
    </row>
    <row r="20" spans="2:6" ht="15" customHeight="1" x14ac:dyDescent="0.2">
      <c r="B20" s="2"/>
      <c r="C20" s="44" t="s">
        <v>259</v>
      </c>
      <c r="D20" s="45">
        <v>67024</v>
      </c>
      <c r="E20" s="92" t="s">
        <v>260</v>
      </c>
      <c r="F20" s="3"/>
    </row>
    <row r="21" spans="2:6" ht="15" customHeight="1" x14ac:dyDescent="0.2">
      <c r="B21" s="2"/>
      <c r="C21" s="47" t="s">
        <v>261</v>
      </c>
      <c r="D21" s="48">
        <v>23517</v>
      </c>
      <c r="E21" s="93" t="s">
        <v>262</v>
      </c>
      <c r="F21" s="3"/>
    </row>
    <row r="22" spans="2:6" ht="15" customHeight="1" x14ac:dyDescent="0.2">
      <c r="B22" s="2"/>
      <c r="C22" s="22" t="s">
        <v>263</v>
      </c>
      <c r="D22" s="50">
        <f>D20+D21</f>
        <v>90541</v>
      </c>
      <c r="E22" s="95"/>
      <c r="F22" s="3"/>
    </row>
    <row r="23" spans="2:6" ht="15" customHeight="1" x14ac:dyDescent="0.2">
      <c r="B23" s="2"/>
      <c r="C23" s="47" t="s">
        <v>264</v>
      </c>
      <c r="D23" s="80">
        <f>D20/D22</f>
        <v>0.74026131807689333</v>
      </c>
      <c r="E23" s="95"/>
      <c r="F23" s="3"/>
    </row>
    <row r="24" spans="2:6" ht="15" customHeight="1" thickBot="1" x14ac:dyDescent="0.25">
      <c r="B24" s="2"/>
      <c r="C24" s="53" t="s">
        <v>265</v>
      </c>
      <c r="D24" s="70">
        <f>D21/D22</f>
        <v>0.25973868192310667</v>
      </c>
      <c r="E24" s="43"/>
      <c r="F24" s="3"/>
    </row>
    <row r="25" spans="2:6" ht="16" thickBot="1" x14ac:dyDescent="0.25">
      <c r="B25" s="2"/>
      <c r="F25" s="3"/>
    </row>
    <row r="26" spans="2:6" ht="15" customHeight="1" thickBot="1" x14ac:dyDescent="0.25">
      <c r="B26" s="2"/>
      <c r="C26" s="322" t="s">
        <v>266</v>
      </c>
      <c r="D26" s="323"/>
      <c r="E26" s="324"/>
      <c r="F26" s="102"/>
    </row>
    <row r="27" spans="2:6" ht="15" customHeight="1" thickBot="1" x14ac:dyDescent="0.25">
      <c r="B27" s="2"/>
      <c r="C27" s="16" t="s">
        <v>241</v>
      </c>
      <c r="D27" s="17" t="s">
        <v>93</v>
      </c>
      <c r="E27" s="18" t="s">
        <v>242</v>
      </c>
      <c r="F27" s="3"/>
    </row>
    <row r="28" spans="2:6" ht="15" customHeight="1" x14ac:dyDescent="0.2">
      <c r="B28" s="2"/>
      <c r="C28" s="89" t="s">
        <v>267</v>
      </c>
      <c r="D28" s="90">
        <f>D23*D10+D24*D16</f>
        <v>8.6797520460343919E-2</v>
      </c>
      <c r="E28" s="100" t="s">
        <v>268</v>
      </c>
      <c r="F28" s="3"/>
    </row>
    <row r="29" spans="2:6" ht="15" customHeight="1" x14ac:dyDescent="0.2">
      <c r="B29" s="2"/>
      <c r="C29" s="88" t="s">
        <v>269</v>
      </c>
      <c r="D29" s="87">
        <v>7.4999999999999997E-2</v>
      </c>
      <c r="E29" s="96" t="s">
        <v>270</v>
      </c>
      <c r="F29" s="3"/>
    </row>
    <row r="30" spans="2:6" ht="15" customHeight="1" thickBot="1" x14ac:dyDescent="0.25">
      <c r="B30" s="2"/>
      <c r="C30" s="97" t="s">
        <v>271</v>
      </c>
      <c r="D30" s="98">
        <f>D28-D29</f>
        <v>1.1797520460343922E-2</v>
      </c>
      <c r="E30" s="99" t="s">
        <v>272</v>
      </c>
      <c r="F30" s="3"/>
    </row>
    <row r="31" spans="2:6" ht="16" thickBot="1" x14ac:dyDescent="0.25">
      <c r="B31" s="34"/>
      <c r="C31" s="4"/>
      <c r="D31" s="4"/>
      <c r="E31" s="4"/>
      <c r="F31" s="5"/>
    </row>
  </sheetData>
  <mergeCells count="5">
    <mergeCell ref="C5:E5"/>
    <mergeCell ref="C3:E3"/>
    <mergeCell ref="C12:E12"/>
    <mergeCell ref="C18:E18"/>
    <mergeCell ref="C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66"/>
  <sheetViews>
    <sheetView showGridLines="0" zoomScaleNormal="100" workbookViewId="0">
      <selection activeCell="F7" sqref="F7"/>
    </sheetView>
  </sheetViews>
  <sheetFormatPr baseColWidth="10" defaultColWidth="8.6640625" defaultRowHeight="15" x14ac:dyDescent="0.2"/>
  <cols>
    <col min="1" max="2" width="8.6640625" style="103"/>
    <col min="3" max="3" width="38" style="103" customWidth="1"/>
    <col min="4" max="4" width="14" style="103" customWidth="1"/>
    <col min="5" max="5" width="40.33203125" style="103" bestFit="1" customWidth="1"/>
    <col min="6" max="8" width="14" style="103" customWidth="1"/>
    <col min="9" max="9" width="16" style="103" customWidth="1"/>
    <col min="10" max="10" width="48.33203125" style="103" customWidth="1"/>
    <col min="11" max="16384" width="8.6640625" style="103"/>
  </cols>
  <sheetData>
    <row r="2" spans="2:11" ht="16" thickBot="1" x14ac:dyDescent="0.25"/>
    <row r="3" spans="2:11" x14ac:dyDescent="0.2">
      <c r="B3" s="163"/>
      <c r="C3" s="164"/>
      <c r="D3" s="164"/>
      <c r="E3" s="164"/>
      <c r="F3" s="164"/>
      <c r="G3" s="164"/>
      <c r="H3" s="164"/>
      <c r="I3" s="164"/>
      <c r="J3" s="164"/>
      <c r="K3" s="165"/>
    </row>
    <row r="4" spans="2:11" ht="19" x14ac:dyDescent="0.2">
      <c r="B4" s="166"/>
      <c r="C4" s="341" t="s">
        <v>92</v>
      </c>
      <c r="D4" s="341"/>
      <c r="E4" s="341"/>
      <c r="F4" s="341"/>
      <c r="G4" s="341"/>
      <c r="H4" s="341"/>
      <c r="I4" s="341"/>
      <c r="J4" s="341"/>
      <c r="K4" s="167"/>
    </row>
    <row r="5" spans="2:11" ht="16" thickBot="1" x14ac:dyDescent="0.25">
      <c r="B5" s="166"/>
      <c r="K5" s="167"/>
    </row>
    <row r="6" spans="2:11" ht="16" thickBot="1" x14ac:dyDescent="0.25">
      <c r="B6" s="166"/>
      <c r="C6" s="338" t="s">
        <v>289</v>
      </c>
      <c r="D6" s="339"/>
      <c r="E6" s="340"/>
      <c r="F6" s="6"/>
      <c r="G6" s="6"/>
      <c r="H6" s="6"/>
      <c r="I6" s="6"/>
      <c r="J6" s="6"/>
      <c r="K6" s="167"/>
    </row>
    <row r="7" spans="2:11" ht="17" thickBot="1" x14ac:dyDescent="0.25">
      <c r="B7" s="166"/>
      <c r="C7" s="124" t="s">
        <v>282</v>
      </c>
      <c r="D7" s="125" t="s">
        <v>93</v>
      </c>
      <c r="E7" s="126" t="s">
        <v>242</v>
      </c>
      <c r="K7" s="167"/>
    </row>
    <row r="8" spans="2:11" x14ac:dyDescent="0.2">
      <c r="B8" s="166"/>
      <c r="C8" s="121" t="s">
        <v>94</v>
      </c>
      <c r="D8" s="122">
        <v>7.4999999999999997E-2</v>
      </c>
      <c r="E8" s="123"/>
      <c r="K8" s="167"/>
    </row>
    <row r="9" spans="2:11" x14ac:dyDescent="0.2">
      <c r="B9" s="166"/>
      <c r="C9" s="113" t="s">
        <v>95</v>
      </c>
      <c r="D9" s="107">
        <v>2.5000000000000001E-2</v>
      </c>
      <c r="E9" s="114"/>
      <c r="K9" s="167"/>
    </row>
    <row r="10" spans="2:11" x14ac:dyDescent="0.2">
      <c r="B10" s="166"/>
      <c r="C10" s="115" t="s">
        <v>48</v>
      </c>
      <c r="D10" s="108">
        <v>0.44500000000000001</v>
      </c>
      <c r="E10" s="116" t="s">
        <v>96</v>
      </c>
      <c r="K10" s="167"/>
    </row>
    <row r="11" spans="2:11" x14ac:dyDescent="0.2">
      <c r="B11" s="166"/>
      <c r="C11" s="117" t="s">
        <v>97</v>
      </c>
      <c r="D11" s="110">
        <v>0.26</v>
      </c>
      <c r="E11" s="116" t="s">
        <v>98</v>
      </c>
      <c r="K11" s="167"/>
    </row>
    <row r="12" spans="2:11" x14ac:dyDescent="0.2">
      <c r="B12" s="166"/>
      <c r="C12" s="115" t="s">
        <v>99</v>
      </c>
      <c r="D12" s="108">
        <v>0.28000000000000003</v>
      </c>
      <c r="E12" s="116" t="s">
        <v>100</v>
      </c>
      <c r="K12" s="167"/>
    </row>
    <row r="13" spans="2:11" x14ac:dyDescent="0.2">
      <c r="B13" s="166"/>
      <c r="C13" s="117" t="s">
        <v>101</v>
      </c>
      <c r="D13" s="110">
        <v>0.1845</v>
      </c>
      <c r="E13" s="116" t="s">
        <v>102</v>
      </c>
      <c r="K13" s="167"/>
    </row>
    <row r="14" spans="2:11" x14ac:dyDescent="0.2">
      <c r="B14" s="166"/>
      <c r="C14" s="115" t="s">
        <v>103</v>
      </c>
      <c r="D14" s="111">
        <v>12335</v>
      </c>
      <c r="E14" s="116" t="s">
        <v>104</v>
      </c>
      <c r="K14" s="167"/>
    </row>
    <row r="15" spans="2:11" x14ac:dyDescent="0.2">
      <c r="B15" s="166"/>
      <c r="C15" s="117" t="s">
        <v>105</v>
      </c>
      <c r="D15" s="110">
        <v>1.4999999999999999E-2</v>
      </c>
      <c r="E15" s="116" t="s">
        <v>106</v>
      </c>
      <c r="K15" s="167"/>
    </row>
    <row r="16" spans="2:11" x14ac:dyDescent="0.2">
      <c r="B16" s="166"/>
      <c r="C16" s="115" t="s">
        <v>107</v>
      </c>
      <c r="D16" s="108">
        <v>0.04</v>
      </c>
      <c r="E16" s="116" t="s">
        <v>108</v>
      </c>
      <c r="K16" s="167"/>
    </row>
    <row r="17" spans="2:11" ht="16" thickBot="1" x14ac:dyDescent="0.25">
      <c r="B17" s="166"/>
      <c r="C17" s="118" t="s">
        <v>109</v>
      </c>
      <c r="D17" s="119">
        <v>300</v>
      </c>
      <c r="E17" s="120" t="s">
        <v>110</v>
      </c>
      <c r="K17" s="167"/>
    </row>
    <row r="18" spans="2:11" ht="16" thickBot="1" x14ac:dyDescent="0.25">
      <c r="B18" s="166"/>
      <c r="K18" s="167"/>
    </row>
    <row r="19" spans="2:11" ht="16" thickBot="1" x14ac:dyDescent="0.25">
      <c r="B19" s="166"/>
      <c r="C19" s="338" t="s">
        <v>111</v>
      </c>
      <c r="D19" s="339"/>
      <c r="E19" s="339"/>
      <c r="F19" s="339"/>
      <c r="G19" s="339"/>
      <c r="H19" s="339"/>
      <c r="I19" s="339"/>
      <c r="J19" s="340"/>
      <c r="K19" s="167"/>
    </row>
    <row r="20" spans="2:11" ht="17" thickBot="1" x14ac:dyDescent="0.25">
      <c r="B20" s="166"/>
      <c r="C20" s="124" t="s">
        <v>282</v>
      </c>
      <c r="D20" s="125" t="s">
        <v>112</v>
      </c>
      <c r="E20" s="125" t="s">
        <v>113</v>
      </c>
      <c r="F20" s="125" t="s">
        <v>114</v>
      </c>
      <c r="G20" s="125" t="s">
        <v>115</v>
      </c>
      <c r="H20" s="125" t="s">
        <v>116</v>
      </c>
      <c r="I20" s="125" t="s">
        <v>117</v>
      </c>
      <c r="J20" s="126" t="s">
        <v>24</v>
      </c>
      <c r="K20" s="167"/>
    </row>
    <row r="21" spans="2:11" x14ac:dyDescent="0.2">
      <c r="B21" s="166"/>
      <c r="C21" s="131" t="s">
        <v>118</v>
      </c>
      <c r="D21" s="132">
        <f>D16</f>
        <v>0.04</v>
      </c>
      <c r="E21" s="132">
        <f>D21*0.99</f>
        <v>3.9600000000000003E-2</v>
      </c>
      <c r="F21" s="132">
        <f>E21*0.975</f>
        <v>3.8610000000000005E-2</v>
      </c>
      <c r="G21" s="132">
        <f>F21*0.96</f>
        <v>3.7065600000000004E-2</v>
      </c>
      <c r="H21" s="132">
        <f>G21*0.96</f>
        <v>3.5582976000000002E-2</v>
      </c>
      <c r="I21" s="132">
        <f>AVERAGE(D21:H21)</f>
        <v>3.8171715199999998E-2</v>
      </c>
      <c r="J21" s="133" t="s">
        <v>119</v>
      </c>
      <c r="K21" s="167"/>
    </row>
    <row r="22" spans="2:11" ht="16" thickBot="1" x14ac:dyDescent="0.25">
      <c r="B22" s="166"/>
      <c r="C22" s="118" t="s">
        <v>120</v>
      </c>
      <c r="D22" s="119">
        <f>'Historical Financials'!$H$8*(1+D21)</f>
        <v>59943.520000000004</v>
      </c>
      <c r="E22" s="119">
        <f>D22*(1+E21)</f>
        <v>62317.283392000012</v>
      </c>
      <c r="F22" s="119">
        <f>E22*(1+F21)</f>
        <v>64723.353703765133</v>
      </c>
      <c r="G22" s="119">
        <f>F22*(1+G21)</f>
        <v>67122.36364280741</v>
      </c>
      <c r="H22" s="119">
        <f>G22*(1+H21)</f>
        <v>69510.777097372687</v>
      </c>
      <c r="I22" s="119">
        <f>AVERAGE(D22:H22)</f>
        <v>64723.459567189057</v>
      </c>
      <c r="J22" s="120" t="s">
        <v>121</v>
      </c>
      <c r="K22" s="167"/>
    </row>
    <row r="23" spans="2:11" ht="16" thickBot="1" x14ac:dyDescent="0.25">
      <c r="B23" s="166"/>
      <c r="K23" s="167"/>
    </row>
    <row r="24" spans="2:11" ht="16" thickBot="1" x14ac:dyDescent="0.25">
      <c r="B24" s="166"/>
      <c r="C24" s="338" t="s">
        <v>122</v>
      </c>
      <c r="D24" s="339"/>
      <c r="E24" s="339"/>
      <c r="F24" s="339"/>
      <c r="G24" s="339"/>
      <c r="H24" s="339"/>
      <c r="I24" s="339"/>
      <c r="J24" s="340"/>
      <c r="K24" s="167"/>
    </row>
    <row r="25" spans="2:11" ht="17" thickBot="1" x14ac:dyDescent="0.25">
      <c r="B25" s="166"/>
      <c r="C25" s="124" t="s">
        <v>282</v>
      </c>
      <c r="D25" s="125" t="s">
        <v>112</v>
      </c>
      <c r="E25" s="125" t="s">
        <v>113</v>
      </c>
      <c r="F25" s="125" t="s">
        <v>114</v>
      </c>
      <c r="G25" s="125" t="s">
        <v>115</v>
      </c>
      <c r="H25" s="125" t="s">
        <v>116</v>
      </c>
      <c r="I25" s="125" t="s">
        <v>123</v>
      </c>
      <c r="J25" s="126" t="s">
        <v>124</v>
      </c>
      <c r="K25" s="167"/>
    </row>
    <row r="26" spans="2:11" x14ac:dyDescent="0.2">
      <c r="B26" s="166"/>
      <c r="C26" s="131" t="s">
        <v>125</v>
      </c>
      <c r="D26" s="136">
        <f>D22*D10</f>
        <v>26674.866400000003</v>
      </c>
      <c r="E26" s="136">
        <f>E22*D10</f>
        <v>27731.191109440006</v>
      </c>
      <c r="F26" s="136">
        <f>F22*D10</f>
        <v>28801.892398175485</v>
      </c>
      <c r="G26" s="136">
        <f>G22*D10</f>
        <v>29869.451821049297</v>
      </c>
      <c r="H26" s="136">
        <f>H22*D10</f>
        <v>30932.295808330848</v>
      </c>
      <c r="I26" s="136">
        <f t="shared" ref="I26:I32" si="0">SUM(D26:H26)</f>
        <v>144009.69753699563</v>
      </c>
      <c r="J26" s="133" t="s">
        <v>126</v>
      </c>
      <c r="K26" s="167"/>
    </row>
    <row r="27" spans="2:11" x14ac:dyDescent="0.2">
      <c r="B27" s="166"/>
      <c r="C27" s="117" t="s">
        <v>127</v>
      </c>
      <c r="D27" s="112">
        <f>D22*D11</f>
        <v>15585.315200000001</v>
      </c>
      <c r="E27" s="112">
        <f>E22*D11</f>
        <v>16202.493681920003</v>
      </c>
      <c r="F27" s="112">
        <f>F22*D11</f>
        <v>16828.071962978935</v>
      </c>
      <c r="G27" s="112">
        <f>G22*D11</f>
        <v>17451.814547129929</v>
      </c>
      <c r="H27" s="112">
        <f>H22*D11</f>
        <v>18072.802045316901</v>
      </c>
      <c r="I27" s="112">
        <f t="shared" si="0"/>
        <v>84140.497437345766</v>
      </c>
      <c r="J27" s="116" t="s">
        <v>128</v>
      </c>
      <c r="K27" s="167"/>
    </row>
    <row r="28" spans="2:11" x14ac:dyDescent="0.2">
      <c r="B28" s="166"/>
      <c r="C28" s="115" t="s">
        <v>129</v>
      </c>
      <c r="D28" s="111">
        <f>D27*(1-D12)</f>
        <v>11221.426944000001</v>
      </c>
      <c r="E28" s="111">
        <f>E27*(1-D12)</f>
        <v>11665.795450982401</v>
      </c>
      <c r="F28" s="111">
        <f>F27*(1-D12)</f>
        <v>12116.211813344833</v>
      </c>
      <c r="G28" s="111">
        <f>G27*(1-D12)</f>
        <v>12565.306473933548</v>
      </c>
      <c r="H28" s="111">
        <f>H27*(1-D12)</f>
        <v>13012.417472628169</v>
      </c>
      <c r="I28" s="111">
        <f t="shared" si="0"/>
        <v>60581.158154888952</v>
      </c>
      <c r="J28" s="116" t="s">
        <v>130</v>
      </c>
      <c r="K28" s="167"/>
    </row>
    <row r="29" spans="2:11" x14ac:dyDescent="0.2">
      <c r="B29" s="166"/>
      <c r="C29" s="117" t="s">
        <v>131</v>
      </c>
      <c r="D29" s="112">
        <f>D26-D27</f>
        <v>11089.551200000002</v>
      </c>
      <c r="E29" s="112">
        <f>E26-E27</f>
        <v>11528.697427520003</v>
      </c>
      <c r="F29" s="112">
        <f>F26-F27</f>
        <v>11973.820435196551</v>
      </c>
      <c r="G29" s="112">
        <f>G26-G27</f>
        <v>12417.637273919368</v>
      </c>
      <c r="H29" s="112">
        <f>H26-H27</f>
        <v>12859.493763013947</v>
      </c>
      <c r="I29" s="112">
        <f t="shared" si="0"/>
        <v>59869.200099649875</v>
      </c>
      <c r="J29" s="116" t="s">
        <v>132</v>
      </c>
      <c r="K29" s="167"/>
    </row>
    <row r="30" spans="2:11" x14ac:dyDescent="0.2">
      <c r="B30" s="166"/>
      <c r="C30" s="115" t="s">
        <v>133</v>
      </c>
      <c r="D30" s="111">
        <f>D14*(1+D15)^1</f>
        <v>12520.025</v>
      </c>
      <c r="E30" s="111">
        <f>D14*(1+D15)^2</f>
        <v>12707.825374999997</v>
      </c>
      <c r="F30" s="111">
        <f>D14*(1+D15)^3</f>
        <v>12898.442755624996</v>
      </c>
      <c r="G30" s="111">
        <f>D14*(1+D15)^4</f>
        <v>13091.919396959367</v>
      </c>
      <c r="H30" s="111">
        <f>D14*(1+D15)^5</f>
        <v>13288.298187913757</v>
      </c>
      <c r="I30" s="111">
        <f t="shared" si="0"/>
        <v>64506.510715498116</v>
      </c>
      <c r="J30" s="116" t="s">
        <v>134</v>
      </c>
      <c r="K30" s="167"/>
    </row>
    <row r="31" spans="2:11" x14ac:dyDescent="0.2">
      <c r="B31" s="166"/>
      <c r="C31" s="117" t="s">
        <v>135</v>
      </c>
      <c r="D31" s="112">
        <f>D17+20*(0)</f>
        <v>300</v>
      </c>
      <c r="E31" s="112">
        <f>D17+20*(1)</f>
        <v>320</v>
      </c>
      <c r="F31" s="112">
        <f>D17+20*(2)</f>
        <v>340</v>
      </c>
      <c r="G31" s="112">
        <f>D17+20*(3)</f>
        <v>360</v>
      </c>
      <c r="H31" s="112">
        <f>D17+20*(4)</f>
        <v>380</v>
      </c>
      <c r="I31" s="112">
        <f t="shared" si="0"/>
        <v>1700</v>
      </c>
      <c r="J31" s="116" t="s">
        <v>110</v>
      </c>
      <c r="K31" s="167"/>
    </row>
    <row r="32" spans="2:11" ht="16" thickBot="1" x14ac:dyDescent="0.25">
      <c r="B32" s="166"/>
      <c r="C32" s="134" t="s">
        <v>136</v>
      </c>
      <c r="D32" s="135">
        <f>D28+D29-D30-D31</f>
        <v>9490.953144000001</v>
      </c>
      <c r="E32" s="135">
        <f>E28+E29-E30-E31</f>
        <v>10166.667503502405</v>
      </c>
      <c r="F32" s="135">
        <f>F28+F29-F30-F31</f>
        <v>10851.58949291639</v>
      </c>
      <c r="G32" s="135">
        <f>G28+G29-G30-G31</f>
        <v>11531.024350893547</v>
      </c>
      <c r="H32" s="135">
        <f>H28+H29-H30-H31</f>
        <v>12203.61304772836</v>
      </c>
      <c r="I32" s="135">
        <f t="shared" si="0"/>
        <v>54243.847539040704</v>
      </c>
      <c r="J32" s="120" t="s">
        <v>137</v>
      </c>
      <c r="K32" s="167"/>
    </row>
    <row r="33" spans="2:11" ht="16" thickBot="1" x14ac:dyDescent="0.25">
      <c r="B33" s="166"/>
      <c r="K33" s="167"/>
    </row>
    <row r="34" spans="2:11" ht="16" thickBot="1" x14ac:dyDescent="0.25">
      <c r="B34" s="166"/>
      <c r="C34" s="338" t="s">
        <v>138</v>
      </c>
      <c r="D34" s="339"/>
      <c r="E34" s="339"/>
      <c r="F34" s="339"/>
      <c r="G34" s="339"/>
      <c r="H34" s="339"/>
      <c r="I34" s="339"/>
      <c r="J34" s="340"/>
      <c r="K34" s="167"/>
    </row>
    <row r="35" spans="2:11" ht="17" thickBot="1" x14ac:dyDescent="0.25">
      <c r="B35" s="166"/>
      <c r="C35" s="124" t="s">
        <v>282</v>
      </c>
      <c r="D35" s="125" t="s">
        <v>112</v>
      </c>
      <c r="E35" s="125" t="s">
        <v>113</v>
      </c>
      <c r="F35" s="125" t="s">
        <v>114</v>
      </c>
      <c r="G35" s="125" t="s">
        <v>115</v>
      </c>
      <c r="H35" s="125" t="s">
        <v>116</v>
      </c>
      <c r="I35" s="125" t="s">
        <v>139</v>
      </c>
      <c r="J35" s="126" t="s">
        <v>124</v>
      </c>
      <c r="K35" s="167"/>
    </row>
    <row r="36" spans="2:11" x14ac:dyDescent="0.2">
      <c r="B36" s="166"/>
      <c r="C36" s="131" t="s">
        <v>140</v>
      </c>
      <c r="D36" s="138">
        <f>1/(1+$D$8)^1</f>
        <v>0.93023255813953487</v>
      </c>
      <c r="E36" s="138">
        <f>1/(1+$D$8)^2</f>
        <v>0.86533261222282321</v>
      </c>
      <c r="F36" s="138">
        <f>1/(1+$D$8)^3</f>
        <v>0.80496056950960304</v>
      </c>
      <c r="G36" s="138">
        <f>1/(1+$D$8)^4</f>
        <v>0.7488005297763749</v>
      </c>
      <c r="H36" s="138">
        <f>1/(1+$D$8)^5</f>
        <v>0.69655863235011617</v>
      </c>
      <c r="I36" s="139"/>
      <c r="J36" s="133" t="s">
        <v>141</v>
      </c>
      <c r="K36" s="167"/>
    </row>
    <row r="37" spans="2:11" ht="16" thickBot="1" x14ac:dyDescent="0.25">
      <c r="B37" s="166"/>
      <c r="C37" s="118" t="s">
        <v>142</v>
      </c>
      <c r="D37" s="119">
        <f>D32*D36</f>
        <v>8828.793622325582</v>
      </c>
      <c r="E37" s="119">
        <f>E32*E36</f>
        <v>8797.5489484066256</v>
      </c>
      <c r="F37" s="119">
        <f>F32*F36</f>
        <v>8735.1016583024011</v>
      </c>
      <c r="G37" s="119">
        <f>G32*G36</f>
        <v>8634.4371428133672</v>
      </c>
      <c r="H37" s="119">
        <f>H32*H36</f>
        <v>8500.5320142556993</v>
      </c>
      <c r="I37" s="119">
        <f>SUM(D37:H37)</f>
        <v>43496.413386103683</v>
      </c>
      <c r="J37" s="120" t="s">
        <v>143</v>
      </c>
      <c r="K37" s="167"/>
    </row>
    <row r="38" spans="2:11" ht="16" thickBot="1" x14ac:dyDescent="0.25">
      <c r="B38" s="166"/>
      <c r="C38" s="137"/>
      <c r="D38" s="137"/>
      <c r="E38" s="137"/>
      <c r="F38" s="137"/>
      <c r="G38" s="137"/>
      <c r="H38" s="137"/>
      <c r="I38" s="137"/>
      <c r="J38" s="137"/>
      <c r="K38" s="167"/>
    </row>
    <row r="39" spans="2:11" ht="16" thickBot="1" x14ac:dyDescent="0.25">
      <c r="B39" s="166"/>
      <c r="C39" s="338" t="s">
        <v>144</v>
      </c>
      <c r="D39" s="339"/>
      <c r="E39" s="340"/>
      <c r="F39" s="6"/>
      <c r="G39" s="6"/>
      <c r="H39" s="6"/>
      <c r="I39" s="6"/>
      <c r="J39" s="6"/>
      <c r="K39" s="167"/>
    </row>
    <row r="40" spans="2:11" ht="17" thickBot="1" x14ac:dyDescent="0.25">
      <c r="B40" s="166"/>
      <c r="C40" s="141" t="s">
        <v>282</v>
      </c>
      <c r="D40" s="142" t="s">
        <v>93</v>
      </c>
      <c r="E40" s="126" t="s">
        <v>242</v>
      </c>
      <c r="F40" s="140"/>
      <c r="G40" s="140"/>
      <c r="H40" s="140"/>
      <c r="I40" s="140"/>
      <c r="J40" s="140"/>
      <c r="K40" s="167"/>
    </row>
    <row r="41" spans="2:11" x14ac:dyDescent="0.2">
      <c r="B41" s="166"/>
      <c r="C41" s="131" t="s">
        <v>145</v>
      </c>
      <c r="D41" s="136">
        <f>H32*(1+$D$9)</f>
        <v>12508.703373921568</v>
      </c>
      <c r="E41" s="129" t="s">
        <v>146</v>
      </c>
      <c r="K41" s="167"/>
    </row>
    <row r="42" spans="2:11" x14ac:dyDescent="0.2">
      <c r="B42" s="166"/>
      <c r="C42" s="117" t="s">
        <v>147</v>
      </c>
      <c r="D42" s="112">
        <f>D41/($D$8-$D$9)</f>
        <v>250174.06747843136</v>
      </c>
      <c r="E42" s="127" t="s">
        <v>148</v>
      </c>
      <c r="K42" s="167"/>
    </row>
    <row r="43" spans="2:11" ht="16" thickBot="1" x14ac:dyDescent="0.25">
      <c r="B43" s="166"/>
      <c r="C43" s="134" t="s">
        <v>149</v>
      </c>
      <c r="D43" s="135">
        <f>D42/(1+$D$8)^5</f>
        <v>174260.90629224182</v>
      </c>
      <c r="E43" s="128" t="s">
        <v>150</v>
      </c>
      <c r="K43" s="167"/>
    </row>
    <row r="44" spans="2:11" ht="16" thickBot="1" x14ac:dyDescent="0.25">
      <c r="B44" s="166"/>
      <c r="K44" s="167"/>
    </row>
    <row r="45" spans="2:11" ht="16" thickBot="1" x14ac:dyDescent="0.25">
      <c r="B45" s="166"/>
      <c r="C45" s="335" t="s">
        <v>151</v>
      </c>
      <c r="D45" s="336"/>
      <c r="E45" s="337"/>
      <c r="F45" s="6"/>
      <c r="G45" s="6"/>
      <c r="H45" s="6"/>
      <c r="I45" s="6"/>
      <c r="J45" s="6"/>
      <c r="K45" s="167"/>
    </row>
    <row r="46" spans="2:11" ht="17" thickBot="1" x14ac:dyDescent="0.25">
      <c r="B46" s="166"/>
      <c r="C46" s="141" t="s">
        <v>282</v>
      </c>
      <c r="D46" s="142" t="s">
        <v>93</v>
      </c>
      <c r="E46" s="126" t="s">
        <v>242</v>
      </c>
      <c r="F46" s="140"/>
      <c r="G46" s="140"/>
      <c r="H46" s="140"/>
      <c r="I46" s="140"/>
      <c r="J46" s="140"/>
      <c r="K46" s="167"/>
    </row>
    <row r="47" spans="2:11" ht="16" x14ac:dyDescent="0.2">
      <c r="B47" s="166"/>
      <c r="C47" s="131" t="s">
        <v>152</v>
      </c>
      <c r="D47" s="136">
        <f>I37+D43</f>
        <v>217757.31967834552</v>
      </c>
      <c r="E47" s="145" t="s">
        <v>153</v>
      </c>
      <c r="K47" s="167"/>
    </row>
    <row r="48" spans="2:11" ht="48" x14ac:dyDescent="0.2">
      <c r="B48" s="166"/>
      <c r="C48" s="115" t="s">
        <v>154</v>
      </c>
      <c r="D48" s="111">
        <v>-14362</v>
      </c>
      <c r="E48" s="143" t="s">
        <v>155</v>
      </c>
      <c r="K48" s="167"/>
    </row>
    <row r="49" spans="2:11" ht="16" x14ac:dyDescent="0.2">
      <c r="B49" s="166"/>
      <c r="C49" s="117" t="s">
        <v>156</v>
      </c>
      <c r="D49" s="112">
        <f>D47+D48</f>
        <v>203395.31967834552</v>
      </c>
      <c r="E49" s="143" t="s">
        <v>157</v>
      </c>
      <c r="K49" s="167"/>
    </row>
    <row r="50" spans="2:11" ht="32" x14ac:dyDescent="0.2">
      <c r="B50" s="166"/>
      <c r="C50" s="115" t="s">
        <v>158</v>
      </c>
      <c r="D50" s="111">
        <v>1623</v>
      </c>
      <c r="E50" s="143" t="s">
        <v>159</v>
      </c>
      <c r="K50" s="167"/>
    </row>
    <row r="51" spans="2:11" ht="16" x14ac:dyDescent="0.2">
      <c r="B51" s="166"/>
      <c r="C51" s="117" t="s">
        <v>160</v>
      </c>
      <c r="D51" s="149">
        <f>D49/D50</f>
        <v>125.32059129904222</v>
      </c>
      <c r="E51" s="143" t="s">
        <v>161</v>
      </c>
      <c r="K51" s="167"/>
    </row>
    <row r="52" spans="2:11" ht="32" x14ac:dyDescent="0.2">
      <c r="B52" s="166"/>
      <c r="C52" s="115" t="s">
        <v>162</v>
      </c>
      <c r="D52" s="150">
        <v>0.64500000000000002</v>
      </c>
      <c r="E52" s="143" t="s">
        <v>285</v>
      </c>
      <c r="K52" s="167"/>
    </row>
    <row r="53" spans="2:11" ht="16" x14ac:dyDescent="0.2">
      <c r="B53" s="166"/>
      <c r="C53" s="115" t="s">
        <v>163</v>
      </c>
      <c r="D53" s="151">
        <f>D51/D52</f>
        <v>194.29549038611196</v>
      </c>
      <c r="E53" s="143" t="s">
        <v>164</v>
      </c>
      <c r="K53" s="167"/>
    </row>
    <row r="54" spans="2:11" ht="32" x14ac:dyDescent="0.2">
      <c r="B54" s="166"/>
      <c r="C54" s="115" t="s">
        <v>165</v>
      </c>
      <c r="D54" s="151">
        <v>179.79</v>
      </c>
      <c r="E54" s="143" t="s">
        <v>166</v>
      </c>
      <c r="K54" s="167"/>
    </row>
    <row r="55" spans="2:11" ht="16" x14ac:dyDescent="0.2">
      <c r="B55" s="166"/>
      <c r="C55" s="117" t="s">
        <v>167</v>
      </c>
      <c r="D55" s="110">
        <f>(D53-D54)/D54</f>
        <v>8.068018458263515E-2</v>
      </c>
      <c r="E55" s="143" t="s">
        <v>58</v>
      </c>
      <c r="K55" s="167"/>
    </row>
    <row r="56" spans="2:11" ht="33" thickBot="1" x14ac:dyDescent="0.25">
      <c r="B56" s="166"/>
      <c r="C56" s="134" t="s">
        <v>59</v>
      </c>
      <c r="D56" s="178" t="str">
        <f>IF(D55&gt;0.08,"BUY",IF(D55&lt;-0.08,"SELL","HOLD"))</f>
        <v>BUY</v>
      </c>
      <c r="E56" s="144" t="s">
        <v>288</v>
      </c>
      <c r="K56" s="167"/>
    </row>
    <row r="57" spans="2:11" ht="16" thickBot="1" x14ac:dyDescent="0.25">
      <c r="B57" s="166"/>
      <c r="K57" s="167"/>
    </row>
    <row r="58" spans="2:11" ht="16" thickBot="1" x14ac:dyDescent="0.25">
      <c r="B58" s="166"/>
      <c r="D58" s="335" t="s">
        <v>277</v>
      </c>
      <c r="E58" s="336"/>
      <c r="F58" s="336"/>
      <c r="G58" s="336"/>
      <c r="H58" s="336"/>
      <c r="I58" s="337"/>
      <c r="K58" s="167"/>
    </row>
    <row r="59" spans="2:11" x14ac:dyDescent="0.2">
      <c r="B59" s="166"/>
      <c r="D59" s="154" t="s">
        <v>278</v>
      </c>
      <c r="E59" s="139"/>
      <c r="F59" s="139"/>
      <c r="G59" s="139"/>
      <c r="H59" s="139"/>
      <c r="I59" s="155"/>
      <c r="K59" s="167"/>
    </row>
    <row r="60" spans="2:11" x14ac:dyDescent="0.2">
      <c r="B60" s="166"/>
      <c r="C60" s="105"/>
      <c r="D60" s="156">
        <f>D53</f>
        <v>194.29549038611196</v>
      </c>
      <c r="E60" s="171">
        <v>1.4999999999999999E-2</v>
      </c>
      <c r="F60" s="171">
        <v>0.02</v>
      </c>
      <c r="G60" s="172">
        <v>2.5000000000000001E-2</v>
      </c>
      <c r="H60" s="173">
        <v>0.03</v>
      </c>
      <c r="I60" s="174">
        <v>3.5000000000000003E-2</v>
      </c>
      <c r="J60" s="104"/>
      <c r="K60" s="167"/>
    </row>
    <row r="61" spans="2:11" x14ac:dyDescent="0.2">
      <c r="B61" s="166"/>
      <c r="C61" s="106"/>
      <c r="D61" s="175">
        <v>6.5000000000000002E-2</v>
      </c>
      <c r="E61" s="157">
        <f t="dataTable" ref="E61:I65" dt2D="1" dtr="1" r1="D9" r2="D8"/>
        <v>201.73479502987436</v>
      </c>
      <c r="F61" s="157">
        <v>221.87200271747994</v>
      </c>
      <c r="G61" s="157">
        <v>247.04351232698676</v>
      </c>
      <c r="H61" s="157">
        <v>279.4068818249242</v>
      </c>
      <c r="I61" s="158">
        <v>322.55804115550745</v>
      </c>
      <c r="K61" s="167"/>
    </row>
    <row r="62" spans="2:11" x14ac:dyDescent="0.2">
      <c r="B62" s="166"/>
      <c r="C62" s="106"/>
      <c r="D62" s="175">
        <v>7.0000000000000007E-2</v>
      </c>
      <c r="E62" s="157">
        <v>181.80252697876421</v>
      </c>
      <c r="F62" s="157">
        <v>197.97261536864713</v>
      </c>
      <c r="G62" s="157">
        <v>217.73605673405947</v>
      </c>
      <c r="H62" s="157">
        <v>242.44035844082495</v>
      </c>
      <c r="I62" s="158">
        <v>274.20303206380925</v>
      </c>
      <c r="K62" s="167"/>
    </row>
    <row r="63" spans="2:11" x14ac:dyDescent="0.2">
      <c r="B63" s="166"/>
      <c r="C63" s="106"/>
      <c r="D63" s="176">
        <v>7.4999999999999997E-2</v>
      </c>
      <c r="E63" s="159">
        <v>165.19803021545511</v>
      </c>
      <c r="F63" s="159">
        <v>178.4241484748446</v>
      </c>
      <c r="G63" s="159">
        <v>194.29549038611196</v>
      </c>
      <c r="H63" s="159">
        <v>213.6937971665499</v>
      </c>
      <c r="I63" s="160">
        <v>237.94168064209731</v>
      </c>
      <c r="K63" s="167"/>
    </row>
    <row r="64" spans="2:11" x14ac:dyDescent="0.2">
      <c r="B64" s="166"/>
      <c r="D64" s="175">
        <v>0.08</v>
      </c>
      <c r="E64" s="157">
        <v>151.15323162116312</v>
      </c>
      <c r="F64" s="157">
        <v>162.13875036619675</v>
      </c>
      <c r="G64" s="157">
        <v>175.12163615578189</v>
      </c>
      <c r="H64" s="157">
        <v>190.70109910328406</v>
      </c>
      <c r="I64" s="158">
        <v>209.74266492800899</v>
      </c>
      <c r="K64" s="167"/>
    </row>
    <row r="65" spans="2:11" ht="16" thickBot="1" x14ac:dyDescent="0.25">
      <c r="B65" s="166"/>
      <c r="D65" s="177">
        <v>8.6800000000000002E-2</v>
      </c>
      <c r="E65" s="161">
        <v>135.19875337044257</v>
      </c>
      <c r="F65" s="161">
        <v>143.91000929209736</v>
      </c>
      <c r="G65" s="161">
        <v>154.0308535505894</v>
      </c>
      <c r="H65" s="161">
        <v>165.93353658698507</v>
      </c>
      <c r="I65" s="162">
        <v>180.13403488137209</v>
      </c>
      <c r="K65" s="167"/>
    </row>
    <row r="66" spans="2:11" ht="16" thickBot="1" x14ac:dyDescent="0.25">
      <c r="B66" s="168"/>
      <c r="C66" s="169"/>
      <c r="D66" s="169"/>
      <c r="E66" s="169"/>
      <c r="F66" s="169"/>
      <c r="G66" s="169"/>
      <c r="H66" s="169"/>
      <c r="I66" s="169"/>
      <c r="J66" s="169"/>
      <c r="K66" s="170"/>
    </row>
  </sheetData>
  <scenarios current="0" sqref="B43 B49 B51 B52">
    <scenario name="Bear Case" locked="1" count="4" user="janvi malhotra" comment="Created by janvi malhotra on 4/06/2026">
      <inputCells r="D8" val="0.0868" numFmtId="164"/>
      <inputCells r="D9" val="0.015" numFmtId="164"/>
      <inputCells r="D10" val="0.4" numFmtId="164"/>
      <inputCells r="D16" val="0.02" numFmtId="164"/>
    </scenario>
    <scenario name="Base Case" locked="1" count="4" user="janvi malhotra" comment="Created by janvi malhotra on 4/06/2026">
      <inputCells r="D8" val="0.075" numFmtId="164"/>
      <inputCells r="D9" val="0.025" numFmtId="164"/>
      <inputCells r="D10" val="0.445" numFmtId="164"/>
      <inputCells r="D16" val="0.04" numFmtId="164"/>
    </scenario>
    <scenario name="Bull Case" locked="1" count="4" user="janvi malhotra" comment="Created by janvi malhotra on 4/06/2026">
      <inputCells r="D8" val="0.065" numFmtId="164"/>
      <inputCells r="D9" val="0.03" numFmtId="164"/>
      <inputCells r="D10" val="0.47" numFmtId="164"/>
      <inputCells r="D16" val="0.055" numFmtId="164"/>
    </scenario>
  </scenarios>
  <mergeCells count="8">
    <mergeCell ref="C45:E45"/>
    <mergeCell ref="D58:I58"/>
    <mergeCell ref="C34:J34"/>
    <mergeCell ref="C4:J4"/>
    <mergeCell ref="C19:J19"/>
    <mergeCell ref="C24:J24"/>
    <mergeCell ref="C6:E6"/>
    <mergeCell ref="C39:E39"/>
  </mergeCells>
  <conditionalFormatting sqref="E61:I6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9"/>
  <sheetViews>
    <sheetView showGridLines="0" zoomScaleNormal="100" workbookViewId="0">
      <selection activeCell="G5" sqref="G5"/>
    </sheetView>
  </sheetViews>
  <sheetFormatPr baseColWidth="10" defaultColWidth="8.6640625" defaultRowHeight="15" x14ac:dyDescent="0.2"/>
  <cols>
    <col min="1" max="2" width="8.6640625" style="1"/>
    <col min="3" max="3" width="23.1640625" style="1" bestFit="1" customWidth="1"/>
    <col min="4" max="4" width="17.6640625" style="1" customWidth="1"/>
    <col min="5" max="5" width="16" style="1" customWidth="1"/>
    <col min="6" max="6" width="17.5" style="1" bestFit="1" customWidth="1"/>
    <col min="7" max="7" width="40" style="1" customWidth="1"/>
    <col min="8" max="16384" width="8.6640625" style="1"/>
  </cols>
  <sheetData>
    <row r="1" spans="2:10" ht="16" thickBot="1" x14ac:dyDescent="0.25"/>
    <row r="2" spans="2:10" x14ac:dyDescent="0.2">
      <c r="B2" s="219"/>
      <c r="C2" s="220"/>
      <c r="D2" s="220"/>
      <c r="E2" s="220"/>
      <c r="F2" s="220"/>
      <c r="G2" s="220"/>
      <c r="H2" s="221"/>
    </row>
    <row r="3" spans="2:10" ht="21.75" customHeight="1" x14ac:dyDescent="0.2">
      <c r="B3" s="222"/>
      <c r="C3" s="342" t="s">
        <v>41</v>
      </c>
      <c r="D3" s="343"/>
      <c r="E3" s="343"/>
      <c r="F3" s="343"/>
      <c r="G3" s="343"/>
      <c r="H3" s="223"/>
      <c r="I3" s="35"/>
      <c r="J3" s="35"/>
    </row>
    <row r="4" spans="2:10" ht="16" thickBot="1" x14ac:dyDescent="0.25">
      <c r="B4" s="222"/>
      <c r="H4" s="224"/>
    </row>
    <row r="5" spans="2:10" ht="15" customHeight="1" thickBot="1" x14ac:dyDescent="0.25">
      <c r="B5" s="222"/>
      <c r="C5" s="124" t="s">
        <v>42</v>
      </c>
      <c r="D5" s="125" t="s">
        <v>43</v>
      </c>
      <c r="E5" s="125" t="s">
        <v>44</v>
      </c>
      <c r="F5" s="126" t="s">
        <v>45</v>
      </c>
      <c r="G5" s="179"/>
      <c r="H5" s="224"/>
    </row>
    <row r="6" spans="2:10" ht="15" customHeight="1" x14ac:dyDescent="0.2">
      <c r="B6" s="222"/>
      <c r="C6" s="131" t="s">
        <v>46</v>
      </c>
      <c r="D6" s="180">
        <v>8.6800000000000002E-2</v>
      </c>
      <c r="E6" s="132">
        <v>7.4999999999999997E-2</v>
      </c>
      <c r="F6" s="181">
        <v>6.5000000000000002E-2</v>
      </c>
      <c r="H6" s="224"/>
    </row>
    <row r="7" spans="2:10" ht="15" customHeight="1" x14ac:dyDescent="0.2">
      <c r="B7" s="222"/>
      <c r="C7" s="115" t="s">
        <v>47</v>
      </c>
      <c r="D7" s="182">
        <v>1.4999999999999999E-2</v>
      </c>
      <c r="E7" s="108">
        <v>2.5000000000000001E-2</v>
      </c>
      <c r="F7" s="183">
        <v>0.03</v>
      </c>
      <c r="H7" s="224"/>
    </row>
    <row r="8" spans="2:10" ht="15" customHeight="1" x14ac:dyDescent="0.2">
      <c r="B8" s="222"/>
      <c r="C8" s="115" t="s">
        <v>48</v>
      </c>
      <c r="D8" s="182">
        <v>0.4</v>
      </c>
      <c r="E8" s="108">
        <v>0.44500000000000001</v>
      </c>
      <c r="F8" s="183">
        <v>0.47</v>
      </c>
      <c r="H8" s="224"/>
    </row>
    <row r="9" spans="2:10" ht="15" customHeight="1" x14ac:dyDescent="0.2">
      <c r="B9" s="222"/>
      <c r="C9" s="115" t="s">
        <v>49</v>
      </c>
      <c r="D9" s="182">
        <v>0.02</v>
      </c>
      <c r="E9" s="108">
        <v>0.04</v>
      </c>
      <c r="F9" s="183">
        <v>5.5E-2</v>
      </c>
      <c r="H9" s="224"/>
    </row>
    <row r="10" spans="2:10" ht="15" customHeight="1" thickBot="1" x14ac:dyDescent="0.25">
      <c r="B10" s="222"/>
      <c r="C10" s="134" t="s">
        <v>50</v>
      </c>
      <c r="D10" s="184">
        <v>16000</v>
      </c>
      <c r="E10" s="135">
        <v>14362</v>
      </c>
      <c r="F10" s="185">
        <v>13000</v>
      </c>
      <c r="H10" s="224"/>
    </row>
    <row r="11" spans="2:10" ht="16" thickBot="1" x14ac:dyDescent="0.25">
      <c r="B11" s="222"/>
      <c r="H11" s="224"/>
    </row>
    <row r="12" spans="2:10" ht="15" customHeight="1" thickBot="1" x14ac:dyDescent="0.25">
      <c r="B12" s="222"/>
      <c r="C12" s="338" t="s">
        <v>51</v>
      </c>
      <c r="D12" s="339"/>
      <c r="E12" s="339"/>
      <c r="F12" s="339"/>
      <c r="G12" s="340"/>
      <c r="H12" s="224"/>
    </row>
    <row r="13" spans="2:10" ht="15" customHeight="1" thickBot="1" x14ac:dyDescent="0.25">
      <c r="B13" s="222"/>
      <c r="C13" s="124" t="s">
        <v>52</v>
      </c>
      <c r="D13" s="125" t="s">
        <v>43</v>
      </c>
      <c r="E13" s="125" t="s">
        <v>44</v>
      </c>
      <c r="F13" s="125" t="s">
        <v>45</v>
      </c>
      <c r="G13" s="126" t="s">
        <v>24</v>
      </c>
      <c r="H13" s="224"/>
    </row>
    <row r="14" spans="2:10" ht="15" customHeight="1" x14ac:dyDescent="0.2">
      <c r="B14" s="222"/>
      <c r="C14" s="147" t="s">
        <v>53</v>
      </c>
      <c r="D14" s="203">
        <v>92.7</v>
      </c>
      <c r="E14" s="204">
        <v>219.5</v>
      </c>
      <c r="F14" s="205">
        <v>401.4</v>
      </c>
      <c r="G14" s="206" t="s">
        <v>54</v>
      </c>
      <c r="H14" s="224"/>
    </row>
    <row r="15" spans="2:10" ht="15" customHeight="1" x14ac:dyDescent="0.2">
      <c r="B15" s="222"/>
      <c r="C15" s="146" t="s">
        <v>55</v>
      </c>
      <c r="D15" s="186">
        <v>73.239999999999995</v>
      </c>
      <c r="E15" s="187">
        <v>195.96</v>
      </c>
      <c r="F15" s="188">
        <v>370.98</v>
      </c>
      <c r="G15" s="198" t="s">
        <v>56</v>
      </c>
      <c r="H15" s="224"/>
    </row>
    <row r="16" spans="2:10" ht="15" customHeight="1" x14ac:dyDescent="0.2">
      <c r="B16" s="222"/>
      <c r="C16" s="146" t="s">
        <v>57</v>
      </c>
      <c r="D16" s="189">
        <v>-0.59260000000000002</v>
      </c>
      <c r="E16" s="190">
        <v>8.9899999999999994E-2</v>
      </c>
      <c r="F16" s="191">
        <v>1.0633999999999999</v>
      </c>
      <c r="G16" s="198" t="s">
        <v>58</v>
      </c>
      <c r="H16" s="224"/>
    </row>
    <row r="17" spans="2:8" ht="15" customHeight="1" x14ac:dyDescent="0.2">
      <c r="B17" s="222"/>
      <c r="C17" s="146" t="s">
        <v>59</v>
      </c>
      <c r="D17" s="192" t="s">
        <v>18</v>
      </c>
      <c r="E17" s="193" t="s">
        <v>60</v>
      </c>
      <c r="F17" s="194" t="s">
        <v>60</v>
      </c>
      <c r="G17" s="198" t="s">
        <v>61</v>
      </c>
      <c r="H17" s="224"/>
    </row>
    <row r="18" spans="2:8" ht="15" customHeight="1" x14ac:dyDescent="0.2">
      <c r="B18" s="222"/>
      <c r="C18" s="146" t="s">
        <v>62</v>
      </c>
      <c r="D18" s="195">
        <v>19.2</v>
      </c>
      <c r="E18" s="196">
        <v>20.6</v>
      </c>
      <c r="F18" s="197">
        <v>35.4</v>
      </c>
      <c r="G18" s="198" t="s">
        <v>63</v>
      </c>
      <c r="H18" s="224"/>
    </row>
    <row r="19" spans="2:8" ht="15" customHeight="1" thickBot="1" x14ac:dyDescent="0.25">
      <c r="B19" s="222"/>
      <c r="C19" s="148" t="s">
        <v>64</v>
      </c>
      <c r="D19" s="199">
        <v>4</v>
      </c>
      <c r="E19" s="200">
        <v>8.6</v>
      </c>
      <c r="F19" s="201">
        <v>14.8</v>
      </c>
      <c r="G19" s="202" t="s">
        <v>65</v>
      </c>
      <c r="H19" s="224"/>
    </row>
    <row r="20" spans="2:8" ht="16" thickBot="1" x14ac:dyDescent="0.25">
      <c r="B20" s="222"/>
      <c r="H20" s="224"/>
    </row>
    <row r="21" spans="2:8" ht="15" customHeight="1" thickBot="1" x14ac:dyDescent="0.25">
      <c r="B21" s="222"/>
      <c r="C21" s="338" t="s">
        <v>66</v>
      </c>
      <c r="D21" s="339"/>
      <c r="E21" s="339"/>
      <c r="F21" s="340"/>
      <c r="G21" s="6"/>
      <c r="H21" s="224"/>
    </row>
    <row r="22" spans="2:8" ht="15" customHeight="1" thickBot="1" x14ac:dyDescent="0.25">
      <c r="B22" s="222"/>
      <c r="C22" s="124" t="s">
        <v>67</v>
      </c>
      <c r="D22" s="125" t="s">
        <v>43</v>
      </c>
      <c r="E22" s="125" t="s">
        <v>44</v>
      </c>
      <c r="F22" s="126" t="s">
        <v>45</v>
      </c>
      <c r="H22" s="224"/>
    </row>
    <row r="23" spans="2:8" ht="32" x14ac:dyDescent="0.2">
      <c r="B23" s="222"/>
      <c r="C23" s="215" t="s">
        <v>68</v>
      </c>
      <c r="D23" s="216" t="s">
        <v>69</v>
      </c>
      <c r="E23" s="217" t="s">
        <v>70</v>
      </c>
      <c r="F23" s="218" t="s">
        <v>71</v>
      </c>
      <c r="H23" s="224"/>
    </row>
    <row r="24" spans="2:8" ht="16" x14ac:dyDescent="0.2">
      <c r="B24" s="222"/>
      <c r="C24" s="209" t="s">
        <v>72</v>
      </c>
      <c r="D24" s="207" t="s">
        <v>73</v>
      </c>
      <c r="E24" s="208" t="s">
        <v>74</v>
      </c>
      <c r="F24" s="210" t="s">
        <v>75</v>
      </c>
      <c r="H24" s="224"/>
    </row>
    <row r="25" spans="2:8" ht="16" x14ac:dyDescent="0.2">
      <c r="B25" s="222"/>
      <c r="C25" s="209" t="s">
        <v>76</v>
      </c>
      <c r="D25" s="207" t="s">
        <v>77</v>
      </c>
      <c r="E25" s="208" t="s">
        <v>78</v>
      </c>
      <c r="F25" s="210" t="s">
        <v>79</v>
      </c>
      <c r="H25" s="224"/>
    </row>
    <row r="26" spans="2:8" ht="32" x14ac:dyDescent="0.2">
      <c r="B26" s="222"/>
      <c r="C26" s="209" t="s">
        <v>80</v>
      </c>
      <c r="D26" s="207" t="s">
        <v>81</v>
      </c>
      <c r="E26" s="208" t="s">
        <v>82</v>
      </c>
      <c r="F26" s="210" t="s">
        <v>83</v>
      </c>
      <c r="H26" s="224"/>
    </row>
    <row r="27" spans="2:8" ht="16" x14ac:dyDescent="0.2">
      <c r="B27" s="222"/>
      <c r="C27" s="209" t="s">
        <v>84</v>
      </c>
      <c r="D27" s="207" t="s">
        <v>85</v>
      </c>
      <c r="E27" s="208" t="s">
        <v>86</v>
      </c>
      <c r="F27" s="210" t="s">
        <v>87</v>
      </c>
      <c r="H27" s="224"/>
    </row>
    <row r="28" spans="2:8" ht="33" thickBot="1" x14ac:dyDescent="0.25">
      <c r="B28" s="222"/>
      <c r="C28" s="211" t="s">
        <v>88</v>
      </c>
      <c r="D28" s="212" t="s">
        <v>89</v>
      </c>
      <c r="E28" s="213" t="s">
        <v>90</v>
      </c>
      <c r="F28" s="214" t="s">
        <v>91</v>
      </c>
      <c r="H28" s="224"/>
    </row>
    <row r="29" spans="2:8" ht="16" thickBot="1" x14ac:dyDescent="0.25">
      <c r="B29" s="225"/>
      <c r="C29" s="226"/>
      <c r="D29" s="226"/>
      <c r="E29" s="226"/>
      <c r="F29" s="226"/>
      <c r="G29" s="226"/>
      <c r="H29" s="227"/>
    </row>
  </sheetData>
  <mergeCells count="3">
    <mergeCell ref="C12:G12"/>
    <mergeCell ref="C3:G3"/>
    <mergeCell ref="C21:F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A0F2-7D73-4870-84A0-CCF97E38C0EA}">
  <sheetPr>
    <outlinePr summaryBelow="0"/>
  </sheetPr>
  <dimension ref="B2:I19"/>
  <sheetViews>
    <sheetView showGridLines="0" zoomScaleNormal="100" workbookViewId="0">
      <selection activeCell="I5" sqref="I5"/>
    </sheetView>
  </sheetViews>
  <sheetFormatPr baseColWidth="10" defaultColWidth="8.83203125" defaultRowHeight="15" outlineLevelRow="1" outlineLevelCol="1" x14ac:dyDescent="0.2"/>
  <cols>
    <col min="1" max="3" width="8.83203125" style="1"/>
    <col min="4" max="4" width="17.6640625" style="1" customWidth="1"/>
    <col min="5" max="8" width="13.1640625" style="1" bestFit="1" customWidth="1" outlineLevel="1"/>
    <col min="9" max="16384" width="8.83203125" style="1"/>
  </cols>
  <sheetData>
    <row r="2" spans="2:9" ht="16" thickBot="1" x14ac:dyDescent="0.25"/>
    <row r="3" spans="2:9" ht="16" thickBot="1" x14ac:dyDescent="0.25">
      <c r="B3" s="219"/>
      <c r="C3" s="220"/>
      <c r="D3" s="220"/>
      <c r="E3" s="220"/>
      <c r="F3" s="220"/>
      <c r="G3" s="220"/>
      <c r="H3" s="220"/>
      <c r="I3" s="221"/>
    </row>
    <row r="4" spans="2:9" ht="20" thickBot="1" x14ac:dyDescent="0.3">
      <c r="B4" s="222"/>
      <c r="C4" s="354" t="s">
        <v>274</v>
      </c>
      <c r="D4" s="355"/>
      <c r="E4" s="355"/>
      <c r="F4" s="355"/>
      <c r="G4" s="355"/>
      <c r="H4" s="356"/>
      <c r="I4" s="224"/>
    </row>
    <row r="5" spans="2:9" ht="16" thickBot="1" x14ac:dyDescent="0.25">
      <c r="B5" s="222"/>
      <c r="C5" s="228"/>
      <c r="D5" s="228"/>
      <c r="E5" s="228"/>
      <c r="F5" s="228"/>
      <c r="G5" s="228"/>
      <c r="H5" s="228"/>
      <c r="I5" s="224"/>
    </row>
    <row r="6" spans="2:9" ht="16" collapsed="1" thickBot="1" x14ac:dyDescent="0.25">
      <c r="B6" s="222"/>
      <c r="C6" s="359" t="s">
        <v>282</v>
      </c>
      <c r="D6" s="360"/>
      <c r="E6" s="362" t="s">
        <v>287</v>
      </c>
      <c r="F6" s="362" t="s">
        <v>43</v>
      </c>
      <c r="G6" s="362" t="s">
        <v>44</v>
      </c>
      <c r="H6" s="366" t="s">
        <v>45</v>
      </c>
      <c r="I6" s="224"/>
    </row>
    <row r="7" spans="2:9" ht="48" hidden="1" customHeight="1" outlineLevel="1" x14ac:dyDescent="0.2">
      <c r="B7" s="222"/>
      <c r="C7" s="234"/>
      <c r="D7" s="231"/>
      <c r="E7" s="363"/>
      <c r="F7" s="363" t="s">
        <v>273</v>
      </c>
      <c r="G7" s="363" t="s">
        <v>273</v>
      </c>
      <c r="H7" s="367" t="s">
        <v>273</v>
      </c>
      <c r="I7" s="224"/>
    </row>
    <row r="8" spans="2:9" ht="16" thickBot="1" x14ac:dyDescent="0.25">
      <c r="B8" s="222"/>
      <c r="C8" s="357" t="s">
        <v>275</v>
      </c>
      <c r="D8" s="358"/>
      <c r="E8" s="364"/>
      <c r="F8" s="365"/>
      <c r="G8" s="365"/>
      <c r="H8" s="368"/>
      <c r="I8" s="224"/>
    </row>
    <row r="9" spans="2:9" outlineLevel="1" x14ac:dyDescent="0.2">
      <c r="B9" s="222"/>
      <c r="C9" s="348" t="s">
        <v>46</v>
      </c>
      <c r="D9" s="349"/>
      <c r="E9" s="232">
        <v>7.4999999999999997E-2</v>
      </c>
      <c r="F9" s="233">
        <v>8.6800000000000002E-2</v>
      </c>
      <c r="G9" s="233">
        <v>7.4999999999999997E-2</v>
      </c>
      <c r="H9" s="236">
        <v>6.5000000000000002E-2</v>
      </c>
      <c r="I9" s="224"/>
    </row>
    <row r="10" spans="2:9" outlineLevel="1" x14ac:dyDescent="0.2">
      <c r="B10" s="222"/>
      <c r="C10" s="344" t="s">
        <v>47</v>
      </c>
      <c r="D10" s="345"/>
      <c r="E10" s="110">
        <v>2.5000000000000001E-2</v>
      </c>
      <c r="F10" s="229">
        <v>1.4999999999999999E-2</v>
      </c>
      <c r="G10" s="229">
        <v>2.5000000000000001E-2</v>
      </c>
      <c r="H10" s="237">
        <v>0.03</v>
      </c>
      <c r="I10" s="224"/>
    </row>
    <row r="11" spans="2:9" outlineLevel="1" x14ac:dyDescent="0.2">
      <c r="B11" s="222"/>
      <c r="C11" s="344" t="s">
        <v>48</v>
      </c>
      <c r="D11" s="345"/>
      <c r="E11" s="110">
        <v>0.44500000000000001</v>
      </c>
      <c r="F11" s="229">
        <v>0.4</v>
      </c>
      <c r="G11" s="229">
        <v>0.44500000000000001</v>
      </c>
      <c r="H11" s="237">
        <v>0.47</v>
      </c>
      <c r="I11" s="224"/>
    </row>
    <row r="12" spans="2:9" ht="16" outlineLevel="1" thickBot="1" x14ac:dyDescent="0.25">
      <c r="B12" s="222"/>
      <c r="C12" s="350" t="s">
        <v>236</v>
      </c>
      <c r="D12" s="351"/>
      <c r="E12" s="110">
        <v>0.04</v>
      </c>
      <c r="F12" s="229">
        <v>0.02</v>
      </c>
      <c r="G12" s="229">
        <v>0.04</v>
      </c>
      <c r="H12" s="237">
        <v>5.5E-2</v>
      </c>
      <c r="I12" s="224"/>
    </row>
    <row r="13" spans="2:9" ht="16" thickBot="1" x14ac:dyDescent="0.25">
      <c r="B13" s="222"/>
      <c r="C13" s="357" t="s">
        <v>276</v>
      </c>
      <c r="D13" s="358"/>
      <c r="E13" s="235"/>
      <c r="F13" s="109"/>
      <c r="G13" s="109"/>
      <c r="H13" s="238"/>
      <c r="I13" s="224"/>
    </row>
    <row r="14" spans="2:9" outlineLevel="1" x14ac:dyDescent="0.2">
      <c r="B14" s="222"/>
      <c r="C14" s="352" t="s">
        <v>170</v>
      </c>
      <c r="D14" s="353"/>
      <c r="E14" s="112">
        <v>217757.31967834599</v>
      </c>
      <c r="F14" s="112">
        <v>92191.539862535603</v>
      </c>
      <c r="G14" s="112">
        <v>217757.31967834599</v>
      </c>
      <c r="H14" s="239">
        <v>397386.34756319399</v>
      </c>
      <c r="I14" s="224"/>
    </row>
    <row r="15" spans="2:9" outlineLevel="1" x14ac:dyDescent="0.2">
      <c r="B15" s="222"/>
      <c r="C15" s="344" t="s">
        <v>279</v>
      </c>
      <c r="D15" s="345"/>
      <c r="E15" s="230">
        <v>194.29549038611199</v>
      </c>
      <c r="F15" s="230">
        <v>74.347475831946397</v>
      </c>
      <c r="G15" s="230">
        <v>194.29549038611199</v>
      </c>
      <c r="H15" s="240">
        <v>365.88798384004502</v>
      </c>
      <c r="I15" s="224"/>
    </row>
    <row r="16" spans="2:9" outlineLevel="1" x14ac:dyDescent="0.2">
      <c r="B16" s="222"/>
      <c r="C16" s="344" t="s">
        <v>280</v>
      </c>
      <c r="D16" s="345"/>
      <c r="E16" s="110">
        <v>8.0680184582635206E-2</v>
      </c>
      <c r="F16" s="110">
        <v>-0.58647602296041801</v>
      </c>
      <c r="G16" s="110">
        <v>8.0680184582635206E-2</v>
      </c>
      <c r="H16" s="241">
        <v>1.03508528750234</v>
      </c>
      <c r="I16" s="224"/>
    </row>
    <row r="17" spans="2:9" ht="16" outlineLevel="1" thickBot="1" x14ac:dyDescent="0.25">
      <c r="B17" s="222"/>
      <c r="C17" s="346" t="s">
        <v>59</v>
      </c>
      <c r="D17" s="347"/>
      <c r="E17" s="243" t="s">
        <v>60</v>
      </c>
      <c r="F17" s="242" t="s">
        <v>18</v>
      </c>
      <c r="G17" s="243" t="s">
        <v>60</v>
      </c>
      <c r="H17" s="244" t="s">
        <v>60</v>
      </c>
      <c r="I17" s="224"/>
    </row>
    <row r="18" spans="2:9" ht="36" customHeight="1" x14ac:dyDescent="0.2">
      <c r="B18" s="222"/>
      <c r="C18" s="361" t="s">
        <v>286</v>
      </c>
      <c r="D18" s="361"/>
      <c r="E18" s="361"/>
      <c r="F18" s="361"/>
      <c r="G18" s="361"/>
      <c r="H18" s="361"/>
      <c r="I18" s="224"/>
    </row>
    <row r="19" spans="2:9" ht="16" thickBot="1" x14ac:dyDescent="0.25">
      <c r="B19" s="225"/>
      <c r="C19" s="226"/>
      <c r="D19" s="226"/>
      <c r="E19" s="226"/>
      <c r="F19" s="226"/>
      <c r="G19" s="226"/>
      <c r="H19" s="226"/>
      <c r="I19" s="227"/>
    </row>
  </sheetData>
  <mergeCells count="17">
    <mergeCell ref="C4:H4"/>
    <mergeCell ref="C8:D8"/>
    <mergeCell ref="C13:D13"/>
    <mergeCell ref="C6:D6"/>
    <mergeCell ref="C18:H18"/>
    <mergeCell ref="E6:E8"/>
    <mergeCell ref="F6:F8"/>
    <mergeCell ref="G6:G8"/>
    <mergeCell ref="H6:H8"/>
    <mergeCell ref="C16:D16"/>
    <mergeCell ref="C17:D17"/>
    <mergeCell ref="C9:D9"/>
    <mergeCell ref="C10:D10"/>
    <mergeCell ref="C11:D11"/>
    <mergeCell ref="C12:D12"/>
    <mergeCell ref="C14:D14"/>
    <mergeCell ref="C15:D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9"/>
  <sheetViews>
    <sheetView showGridLines="0" zoomScaleNormal="100" workbookViewId="0">
      <selection activeCell="G5" sqref="G5"/>
    </sheetView>
  </sheetViews>
  <sheetFormatPr baseColWidth="10" defaultColWidth="8.6640625" defaultRowHeight="15" x14ac:dyDescent="0.2"/>
  <cols>
    <col min="1" max="2" width="8.6640625" style="245"/>
    <col min="3" max="3" width="40.1640625" style="245" bestFit="1" customWidth="1"/>
    <col min="4" max="4" width="25" style="245" bestFit="1" customWidth="1"/>
    <col min="5" max="5" width="15.5" style="245" customWidth="1"/>
    <col min="6" max="6" width="38.33203125" style="245" bestFit="1" customWidth="1"/>
    <col min="7" max="16384" width="8.6640625" style="245"/>
  </cols>
  <sheetData>
    <row r="1" spans="2:8" ht="16" thickBot="1" x14ac:dyDescent="0.25"/>
    <row r="2" spans="2:8" x14ac:dyDescent="0.2">
      <c r="B2" s="277"/>
      <c r="C2" s="278"/>
      <c r="D2" s="278"/>
      <c r="E2" s="278"/>
      <c r="F2" s="278"/>
      <c r="G2" s="279"/>
    </row>
    <row r="3" spans="2:8" ht="21.75" customHeight="1" x14ac:dyDescent="0.2">
      <c r="B3" s="280"/>
      <c r="C3" s="372" t="s">
        <v>0</v>
      </c>
      <c r="D3" s="373"/>
      <c r="E3" s="373"/>
      <c r="F3" s="373"/>
      <c r="G3" s="281"/>
      <c r="H3" s="246"/>
    </row>
    <row r="4" spans="2:8" ht="16" thickBot="1" x14ac:dyDescent="0.25">
      <c r="B4" s="280"/>
      <c r="G4" s="282"/>
    </row>
    <row r="5" spans="2:8" ht="15" customHeight="1" thickBot="1" x14ac:dyDescent="0.25">
      <c r="B5" s="280"/>
      <c r="C5" s="374" t="s">
        <v>1</v>
      </c>
      <c r="D5" s="375"/>
      <c r="E5" s="375"/>
      <c r="F5" s="376"/>
      <c r="G5" s="281"/>
      <c r="H5" s="246"/>
    </row>
    <row r="6" spans="2:8" ht="15" customHeight="1" thickBot="1" x14ac:dyDescent="0.25">
      <c r="B6" s="280"/>
      <c r="C6" s="259" t="s">
        <v>2</v>
      </c>
      <c r="D6" s="260" t="s">
        <v>3</v>
      </c>
      <c r="E6" s="260" t="s">
        <v>93</v>
      </c>
      <c r="F6" s="261" t="s">
        <v>4</v>
      </c>
      <c r="G6" s="282"/>
    </row>
    <row r="7" spans="2:8" ht="15" customHeight="1" x14ac:dyDescent="0.2">
      <c r="B7" s="280"/>
      <c r="C7" s="256" t="s">
        <v>5</v>
      </c>
      <c r="D7" s="257" t="s">
        <v>6</v>
      </c>
      <c r="E7" s="257" t="s">
        <v>7</v>
      </c>
      <c r="F7" s="258" t="s">
        <v>8</v>
      </c>
      <c r="G7" s="282"/>
    </row>
    <row r="8" spans="2:8" ht="15" customHeight="1" x14ac:dyDescent="0.2">
      <c r="B8" s="280"/>
      <c r="C8" s="251" t="s">
        <v>9</v>
      </c>
      <c r="D8" s="248" t="s">
        <v>6</v>
      </c>
      <c r="E8" s="248" t="s">
        <v>7</v>
      </c>
      <c r="F8" s="252" t="s">
        <v>10</v>
      </c>
      <c r="G8" s="282"/>
    </row>
    <row r="9" spans="2:8" ht="15" customHeight="1" x14ac:dyDescent="0.2">
      <c r="B9" s="280"/>
      <c r="C9" s="249" t="s">
        <v>11</v>
      </c>
      <c r="D9" s="247" t="s">
        <v>6</v>
      </c>
      <c r="E9" s="247" t="s">
        <v>12</v>
      </c>
      <c r="F9" s="250" t="s">
        <v>13</v>
      </c>
      <c r="G9" s="282"/>
    </row>
    <row r="10" spans="2:8" ht="15" customHeight="1" x14ac:dyDescent="0.2">
      <c r="B10" s="280"/>
      <c r="C10" s="251" t="s">
        <v>14</v>
      </c>
      <c r="D10" s="248" t="s">
        <v>6</v>
      </c>
      <c r="E10" s="248" t="s">
        <v>7</v>
      </c>
      <c r="F10" s="252" t="s">
        <v>15</v>
      </c>
      <c r="G10" s="282"/>
    </row>
    <row r="11" spans="2:8" ht="15" customHeight="1" thickBot="1" x14ac:dyDescent="0.25">
      <c r="B11" s="280"/>
      <c r="C11" s="253" t="s">
        <v>16</v>
      </c>
      <c r="D11" s="254" t="s">
        <v>17</v>
      </c>
      <c r="E11" s="254" t="s">
        <v>18</v>
      </c>
      <c r="F11" s="255" t="s">
        <v>19</v>
      </c>
      <c r="G11" s="282"/>
    </row>
    <row r="12" spans="2:8" ht="6" customHeight="1" thickBot="1" x14ac:dyDescent="0.25">
      <c r="B12" s="280"/>
      <c r="G12" s="282"/>
    </row>
    <row r="13" spans="2:8" ht="15" customHeight="1" thickBot="1" x14ac:dyDescent="0.25">
      <c r="B13" s="280"/>
      <c r="C13" s="369" t="s">
        <v>20</v>
      </c>
      <c r="D13" s="370"/>
      <c r="E13" s="370"/>
      <c r="F13" s="371"/>
      <c r="G13" s="281"/>
      <c r="H13" s="246"/>
    </row>
    <row r="14" spans="2:8" ht="15" customHeight="1" thickBot="1" x14ac:dyDescent="0.25">
      <c r="B14" s="280"/>
      <c r="C14" s="274" t="s">
        <v>21</v>
      </c>
      <c r="D14" s="275" t="s">
        <v>22</v>
      </c>
      <c r="E14" s="275" t="s">
        <v>23</v>
      </c>
      <c r="F14" s="276" t="s">
        <v>24</v>
      </c>
      <c r="G14" s="282"/>
    </row>
    <row r="15" spans="2:8" ht="15" customHeight="1" x14ac:dyDescent="0.2">
      <c r="B15" s="280"/>
      <c r="C15" s="271" t="s">
        <v>25</v>
      </c>
      <c r="D15" s="272" t="s">
        <v>26</v>
      </c>
      <c r="E15" s="272" t="s">
        <v>27</v>
      </c>
      <c r="F15" s="273" t="s">
        <v>28</v>
      </c>
      <c r="G15" s="282"/>
    </row>
    <row r="16" spans="2:8" ht="15" customHeight="1" x14ac:dyDescent="0.2">
      <c r="B16" s="280"/>
      <c r="C16" s="266" t="s">
        <v>29</v>
      </c>
      <c r="D16" s="263" t="s">
        <v>30</v>
      </c>
      <c r="E16" s="263" t="s">
        <v>31</v>
      </c>
      <c r="F16" s="267" t="s">
        <v>32</v>
      </c>
      <c r="G16" s="282"/>
    </row>
    <row r="17" spans="2:7" ht="15" customHeight="1" x14ac:dyDescent="0.2">
      <c r="B17" s="280"/>
      <c r="C17" s="264" t="s">
        <v>33</v>
      </c>
      <c r="D17" s="262" t="s">
        <v>34</v>
      </c>
      <c r="E17" s="262" t="s">
        <v>35</v>
      </c>
      <c r="F17" s="265" t="s">
        <v>36</v>
      </c>
      <c r="G17" s="282"/>
    </row>
    <row r="18" spans="2:7" ht="15" customHeight="1" thickBot="1" x14ac:dyDescent="0.25">
      <c r="B18" s="280"/>
      <c r="C18" s="268" t="s">
        <v>37</v>
      </c>
      <c r="D18" s="269" t="s">
        <v>38</v>
      </c>
      <c r="E18" s="269" t="s">
        <v>39</v>
      </c>
      <c r="F18" s="270" t="s">
        <v>40</v>
      </c>
      <c r="G18" s="282"/>
    </row>
    <row r="19" spans="2:7" ht="16" thickBot="1" x14ac:dyDescent="0.25">
      <c r="B19" s="283"/>
      <c r="C19" s="284"/>
      <c r="D19" s="284"/>
      <c r="E19" s="284"/>
      <c r="F19" s="284"/>
      <c r="G19" s="285"/>
    </row>
  </sheetData>
  <mergeCells count="3">
    <mergeCell ref="C13:F13"/>
    <mergeCell ref="C3:F3"/>
    <mergeCell ref="C5:F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Summary Dashboard</vt:lpstr>
      <vt:lpstr>Historical Financials</vt:lpstr>
      <vt:lpstr>WACC Derivation</vt:lpstr>
      <vt:lpstr>DCF Model</vt:lpstr>
      <vt:lpstr>Scenario Manager</vt:lpstr>
      <vt:lpstr>Scenario Summary</vt:lpstr>
      <vt:lpstr>Goal Seek Analysis</vt:lpstr>
      <vt:lpstr>WACC_TGR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Namesh Panneer Selvan .</cp:lastModifiedBy>
  <cp:revision>0</cp:revision>
  <dcterms:created xsi:type="dcterms:W3CDTF">2026-06-03T13:05:02Z</dcterms:created>
  <dcterms:modified xsi:type="dcterms:W3CDTF">2026-06-05T13:18:07Z</dcterms:modified>
  <dc:language>en-US</dc:language>
</cp:coreProperties>
</file>