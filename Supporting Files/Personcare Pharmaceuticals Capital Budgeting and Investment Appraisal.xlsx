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ameshselvan08/Documents/Namesh /Masters in Business Analytics /University Projects/Excels, Interactive Visuals &amp; R-Code/"/>
    </mc:Choice>
  </mc:AlternateContent>
  <xr:revisionPtr revIDLastSave="0" documentId="13_ncr:1_{2A332B05-A7D7-D440-8A3D-D1EE21286644}" xr6:coauthVersionLast="47" xr6:coauthVersionMax="47" xr10:uidLastSave="{00000000-0000-0000-0000-000000000000}"/>
  <bookViews>
    <workbookView xWindow="0" yWindow="660" windowWidth="29400" windowHeight="16760" tabRatio="500" xr2:uid="{00000000-000D-0000-FFFF-FFFF00000000}"/>
  </bookViews>
  <sheets>
    <sheet name="Assumptions" sheetId="1" r:id="rId1"/>
    <sheet name="Initial Investment" sheetId="2" r:id="rId2"/>
    <sheet name="Tax Depreciation" sheetId="3" r:id="rId3"/>
    <sheet name="Working Capital" sheetId="4" r:id="rId4"/>
    <sheet name="Cash Flow Model" sheetId="5" r:id="rId5"/>
    <sheet name="Result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3" i="5" l="1"/>
  <c r="M33" i="5"/>
  <c r="L33" i="5"/>
  <c r="K33" i="5"/>
  <c r="J33" i="5"/>
  <c r="I33" i="5"/>
  <c r="H33" i="5"/>
  <c r="G33" i="5"/>
  <c r="F33" i="5"/>
  <c r="E33" i="5"/>
  <c r="J18" i="5"/>
  <c r="I18" i="5"/>
  <c r="H18" i="5"/>
  <c r="G18" i="5"/>
  <c r="F18" i="5"/>
  <c r="J17" i="5"/>
  <c r="I17" i="5"/>
  <c r="H17" i="5"/>
  <c r="G17" i="5"/>
  <c r="F17" i="5"/>
  <c r="F15" i="5"/>
  <c r="J14" i="5"/>
  <c r="I14" i="5"/>
  <c r="H14" i="5"/>
  <c r="G14" i="5"/>
  <c r="F14" i="5"/>
  <c r="J13" i="5"/>
  <c r="I13" i="5"/>
  <c r="H13" i="5"/>
  <c r="G13" i="5"/>
  <c r="F13" i="5"/>
  <c r="J12" i="5"/>
  <c r="I12" i="5"/>
  <c r="H12" i="5"/>
  <c r="G12" i="5"/>
  <c r="F12" i="5"/>
  <c r="J9" i="5"/>
  <c r="I9" i="5"/>
  <c r="I10" i="5" s="1"/>
  <c r="H9" i="5"/>
  <c r="H10" i="5" s="1"/>
  <c r="G9" i="5"/>
  <c r="F9" i="5"/>
  <c r="J8" i="5"/>
  <c r="I8" i="5"/>
  <c r="H8" i="5"/>
  <c r="G8" i="5"/>
  <c r="F8" i="5"/>
  <c r="P20" i="4"/>
  <c r="O20" i="4"/>
  <c r="N20" i="4"/>
  <c r="M20" i="4"/>
  <c r="L20" i="4"/>
  <c r="K20" i="4"/>
  <c r="J20" i="4"/>
  <c r="I20" i="4"/>
  <c r="H20" i="4"/>
  <c r="G20" i="4"/>
  <c r="G21" i="4" s="1"/>
  <c r="G22" i="4" s="1"/>
  <c r="L19" i="4"/>
  <c r="K19" i="4"/>
  <c r="J19" i="4"/>
  <c r="I19" i="4"/>
  <c r="H19" i="4"/>
  <c r="D26" i="3"/>
  <c r="O20" i="3"/>
  <c r="N20" i="3"/>
  <c r="M20" i="3"/>
  <c r="L20" i="3"/>
  <c r="N21" i="5" s="1"/>
  <c r="N25" i="5" s="1"/>
  <c r="K20" i="3"/>
  <c r="M21" i="5" s="1"/>
  <c r="M25" i="5" s="1"/>
  <c r="J20" i="3"/>
  <c r="L21" i="5" s="1"/>
  <c r="L25" i="5" s="1"/>
  <c r="I20" i="3"/>
  <c r="K21" i="5" s="1"/>
  <c r="K25" i="5" s="1"/>
  <c r="H20" i="3"/>
  <c r="J21" i="5" s="1"/>
  <c r="J25" i="5" s="1"/>
  <c r="G20" i="3"/>
  <c r="I21" i="5" s="1"/>
  <c r="I25" i="5" s="1"/>
  <c r="F20" i="3"/>
  <c r="H21" i="5" s="1"/>
  <c r="H25" i="5" s="1"/>
  <c r="E20" i="3"/>
  <c r="G21" i="5" s="1"/>
  <c r="G25" i="5" s="1"/>
  <c r="D20" i="3"/>
  <c r="F21" i="5" s="1"/>
  <c r="F25" i="5" s="1"/>
  <c r="D19" i="3"/>
  <c r="J23" i="2"/>
  <c r="J21" i="2"/>
  <c r="J20" i="2"/>
  <c r="J19" i="2"/>
  <c r="D39" i="1"/>
  <c r="J30" i="6" s="1"/>
  <c r="J32" i="1"/>
  <c r="M19" i="4" s="1"/>
  <c r="J31" i="1"/>
  <c r="K18" i="5" s="1"/>
  <c r="M30" i="1"/>
  <c r="N17" i="5" s="1"/>
  <c r="L30" i="1"/>
  <c r="M17" i="5" s="1"/>
  <c r="K30" i="1"/>
  <c r="L17" i="5" s="1"/>
  <c r="J30" i="1"/>
  <c r="K17" i="5" s="1"/>
  <c r="F29" i="1"/>
  <c r="G15" i="5" s="1"/>
  <c r="J28" i="1"/>
  <c r="K14" i="5" s="1"/>
  <c r="J27" i="1"/>
  <c r="K27" i="1" s="1"/>
  <c r="J26" i="1"/>
  <c r="K12" i="5" s="1"/>
  <c r="J25" i="1"/>
  <c r="K25" i="1" s="1"/>
  <c r="J24" i="1"/>
  <c r="K8" i="5" s="1"/>
  <c r="F10" i="5" l="1"/>
  <c r="G10" i="5"/>
  <c r="G16" i="5" s="1"/>
  <c r="G19" i="5" s="1"/>
  <c r="G20" i="5" s="1"/>
  <c r="G22" i="5" s="1"/>
  <c r="J22" i="2"/>
  <c r="J26" i="6" s="1"/>
  <c r="J10" i="5"/>
  <c r="J16" i="5" s="1"/>
  <c r="K32" i="1"/>
  <c r="N19" i="4" s="1"/>
  <c r="N21" i="4" s="1"/>
  <c r="L21" i="4"/>
  <c r="D21" i="3"/>
  <c r="E19" i="3" s="1"/>
  <c r="E21" i="3" s="1"/>
  <c r="F19" i="3" s="1"/>
  <c r="F21" i="3" s="1"/>
  <c r="G19" i="3" s="1"/>
  <c r="G21" i="3" s="1"/>
  <c r="H19" i="3" s="1"/>
  <c r="H21" i="3" s="1"/>
  <c r="I19" i="3" s="1"/>
  <c r="I21" i="3" s="1"/>
  <c r="J19" i="3" s="1"/>
  <c r="J21" i="3" s="1"/>
  <c r="K19" i="3" s="1"/>
  <c r="K21" i="3" s="1"/>
  <c r="L19" i="3" s="1"/>
  <c r="L21" i="3" s="1"/>
  <c r="H21" i="4"/>
  <c r="H22" i="4" s="1"/>
  <c r="H23" i="4" s="1"/>
  <c r="F29" i="5" s="1"/>
  <c r="K28" i="1"/>
  <c r="L28" i="1" s="1"/>
  <c r="M28" i="1" s="1"/>
  <c r="N14" i="5" s="1"/>
  <c r="I21" i="4"/>
  <c r="J21" i="4"/>
  <c r="K21" i="4"/>
  <c r="K13" i="5"/>
  <c r="M21" i="4"/>
  <c r="L13" i="5"/>
  <c r="L27" i="1"/>
  <c r="K24" i="1"/>
  <c r="F16" i="5"/>
  <c r="F19" i="5" s="1"/>
  <c r="F20" i="5" s="1"/>
  <c r="F22" i="5" s="1"/>
  <c r="L25" i="1"/>
  <c r="L9" i="5"/>
  <c r="I16" i="5"/>
  <c r="G29" i="1"/>
  <c r="K26" i="1"/>
  <c r="H16" i="5"/>
  <c r="K9" i="5"/>
  <c r="K10" i="5" s="1"/>
  <c r="K31" i="1"/>
  <c r="J24" i="2" l="1"/>
  <c r="E28" i="5" s="1"/>
  <c r="E32" i="5" s="1"/>
  <c r="E34" i="5" s="1"/>
  <c r="E36" i="5" s="1"/>
  <c r="J22" i="4"/>
  <c r="J23" i="4" s="1"/>
  <c r="H29" i="5" s="1"/>
  <c r="M22" i="4"/>
  <c r="M23" i="4" s="1"/>
  <c r="K29" i="5" s="1"/>
  <c r="L32" i="1"/>
  <c r="O19" i="4" s="1"/>
  <c r="O21" i="4" s="1"/>
  <c r="O22" i="4" s="1"/>
  <c r="O23" i="4" s="1"/>
  <c r="M29" i="5" s="1"/>
  <c r="I22" i="4"/>
  <c r="I23" i="4" s="1"/>
  <c r="G29" i="5" s="1"/>
  <c r="K22" i="4"/>
  <c r="K23" i="4" s="1"/>
  <c r="I29" i="5" s="1"/>
  <c r="M19" i="3"/>
  <c r="M21" i="3" s="1"/>
  <c r="N19" i="3" s="1"/>
  <c r="N21" i="3" s="1"/>
  <c r="O19" i="3" s="1"/>
  <c r="O21" i="3" s="1"/>
  <c r="D25" i="3"/>
  <c r="D27" i="3" s="1"/>
  <c r="D28" i="3" s="1"/>
  <c r="D29" i="3" s="1"/>
  <c r="J28" i="6" s="1"/>
  <c r="L22" i="4"/>
  <c r="L23" i="4" s="1"/>
  <c r="J29" i="5" s="1"/>
  <c r="L14" i="5"/>
  <c r="M14" i="5"/>
  <c r="N22" i="4"/>
  <c r="N23" i="4" s="1"/>
  <c r="L29" i="5" s="1"/>
  <c r="G23" i="5"/>
  <c r="G24" i="5" s="1"/>
  <c r="G26" i="5" s="1"/>
  <c r="K16" i="5"/>
  <c r="M9" i="5"/>
  <c r="M25" i="1"/>
  <c r="N9" i="5" s="1"/>
  <c r="L12" i="5"/>
  <c r="L26" i="1"/>
  <c r="H29" i="1"/>
  <c r="H15" i="5"/>
  <c r="H19" i="5" s="1"/>
  <c r="H20" i="5" s="1"/>
  <c r="H22" i="5" s="1"/>
  <c r="F23" i="5"/>
  <c r="F24" i="5" s="1"/>
  <c r="F26" i="5" s="1"/>
  <c r="F32" i="5" s="1"/>
  <c r="F34" i="5" s="1"/>
  <c r="M13" i="5"/>
  <c r="M27" i="1"/>
  <c r="N13" i="5" s="1"/>
  <c r="L18" i="5"/>
  <c r="L31" i="1"/>
  <c r="L24" i="1"/>
  <c r="L8" i="5"/>
  <c r="L10" i="5" s="1"/>
  <c r="M32" i="1" l="1"/>
  <c r="P19" i="4" s="1"/>
  <c r="P21" i="4" s="1"/>
  <c r="E35" i="5"/>
  <c r="J27" i="6"/>
  <c r="N30" i="5"/>
  <c r="G32" i="5"/>
  <c r="G34" i="5" s="1"/>
  <c r="F36" i="5"/>
  <c r="F35" i="5"/>
  <c r="G24" i="4"/>
  <c r="P22" i="4"/>
  <c r="P23" i="4" s="1"/>
  <c r="N29" i="5" s="1"/>
  <c r="M8" i="5"/>
  <c r="M10" i="5" s="1"/>
  <c r="M24" i="1"/>
  <c r="N8" i="5" s="1"/>
  <c r="N10" i="5" s="1"/>
  <c r="L16" i="5"/>
  <c r="M12" i="5"/>
  <c r="M26" i="1"/>
  <c r="N12" i="5" s="1"/>
  <c r="M18" i="5"/>
  <c r="M31" i="1"/>
  <c r="N18" i="5" s="1"/>
  <c r="H23" i="5"/>
  <c r="H24" i="5" s="1"/>
  <c r="H26" i="5" s="1"/>
  <c r="H32" i="5" s="1"/>
  <c r="H34" i="5" s="1"/>
  <c r="I15" i="5"/>
  <c r="I19" i="5" s="1"/>
  <c r="I20" i="5" s="1"/>
  <c r="I22" i="5" s="1"/>
  <c r="I29" i="1"/>
  <c r="G35" i="5" l="1"/>
  <c r="H35" i="5" s="1"/>
  <c r="G36" i="5"/>
  <c r="H36" i="5" s="1"/>
  <c r="J15" i="5"/>
  <c r="J19" i="5" s="1"/>
  <c r="J20" i="5" s="1"/>
  <c r="J22" i="5" s="1"/>
  <c r="J29" i="1"/>
  <c r="I23" i="5"/>
  <c r="I24" i="5" s="1"/>
  <c r="I26" i="5" s="1"/>
  <c r="I32" i="5" s="1"/>
  <c r="N16" i="5"/>
  <c r="M16" i="5"/>
  <c r="N31" i="5"/>
  <c r="J29" i="6"/>
  <c r="I34" i="5" l="1"/>
  <c r="I36" i="5" s="1"/>
  <c r="I35" i="5"/>
  <c r="K15" i="5"/>
  <c r="K19" i="5" s="1"/>
  <c r="K20" i="5" s="1"/>
  <c r="K22" i="5" s="1"/>
  <c r="K29" i="1"/>
  <c r="J23" i="5"/>
  <c r="J24" i="5" s="1"/>
  <c r="J26" i="5" s="1"/>
  <c r="J32" i="5" s="1"/>
  <c r="J34" i="5" l="1"/>
  <c r="J36" i="5" s="1"/>
  <c r="L29" i="1"/>
  <c r="L15" i="5"/>
  <c r="L19" i="5" s="1"/>
  <c r="L20" i="5" s="1"/>
  <c r="L22" i="5" s="1"/>
  <c r="K23" i="5"/>
  <c r="K24" i="5" s="1"/>
  <c r="K26" i="5" s="1"/>
  <c r="K32" i="5" s="1"/>
  <c r="J35" i="5"/>
  <c r="K34" i="5" l="1"/>
  <c r="K36" i="5" s="1"/>
  <c r="K35" i="5"/>
  <c r="L23" i="5"/>
  <c r="L24" i="5" s="1"/>
  <c r="L26" i="5" s="1"/>
  <c r="L32" i="5" s="1"/>
  <c r="L34" i="5" s="1"/>
  <c r="M29" i="1"/>
  <c r="N15" i="5" s="1"/>
  <c r="N19" i="5" s="1"/>
  <c r="N20" i="5" s="1"/>
  <c r="N22" i="5" s="1"/>
  <c r="M15" i="5"/>
  <c r="M19" i="5" s="1"/>
  <c r="M20" i="5" s="1"/>
  <c r="M22" i="5" s="1"/>
  <c r="M23" i="5" l="1"/>
  <c r="M24" i="5" s="1"/>
  <c r="M26" i="5" s="1"/>
  <c r="M32" i="5" s="1"/>
  <c r="M34" i="5" s="1"/>
  <c r="N23" i="5"/>
  <c r="N24" i="5" s="1"/>
  <c r="N26" i="5" s="1"/>
  <c r="N32" i="5" s="1"/>
  <c r="L35" i="5"/>
  <c r="L36" i="5"/>
  <c r="M36" i="5" l="1"/>
  <c r="N34" i="5"/>
  <c r="J20" i="6"/>
  <c r="J21" i="6"/>
  <c r="J19" i="6"/>
  <c r="N36" i="5"/>
  <c r="J23" i="6" s="1"/>
  <c r="M35" i="5"/>
  <c r="N35" i="5" s="1"/>
  <c r="J22" i="6" s="1" a="1"/>
  <c r="J2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<sst xmlns="http://schemas.openxmlformats.org/spreadsheetml/2006/main" count="191" uniqueCount="153">
  <si>
    <t>Blue = hardcoded input from the case study. Black = calculated. Yellow = key judgement agreed by the group. Change ONLY blue cells.</t>
  </si>
  <si>
    <t>PROJECT &amp; FINANCIAL PARAMETERS</t>
  </si>
  <si>
    <t>Project evaluation life (years)</t>
  </si>
  <si>
    <t>Case: 9-year expected product life</t>
  </si>
  <si>
    <t>Tax depreciation life (years)</t>
  </si>
  <si>
    <t>ATO effective life of equipment — NOT the 9-year project life</t>
  </si>
  <si>
    <t>Required rate of return (nominal, after tax)</t>
  </si>
  <si>
    <t>Board's hurdle rate</t>
  </si>
  <si>
    <t>Company tax rate</t>
  </si>
  <si>
    <t>Australian corporate rate</t>
  </si>
  <si>
    <t>General inflation applied Years 6-9</t>
  </si>
  <si>
    <t>Case: 2.5% p.a. from Year 6</t>
  </si>
  <si>
    <t>Wage escalation Years 2-5</t>
  </si>
  <si>
    <t>Enterprise agreement</t>
  </si>
  <si>
    <t>Wage escalation Years 6-9</t>
  </si>
  <si>
    <t>Reverts to general inflation</t>
  </si>
  <si>
    <t>Factory overhead (% of total sales)</t>
  </si>
  <si>
    <t>Variable overhead on new product AND contract sales</t>
  </si>
  <si>
    <t>Variable costs saved on cannibalised tablets</t>
  </si>
  <si>
    <t>Only 30% of lost tablet revenue is a true loss avoided</t>
  </si>
  <si>
    <t>CAPITAL OUTLAY (YEAR 0)</t>
  </si>
  <si>
    <t>New equipment</t>
  </si>
  <si>
    <t>Depreciable asset</t>
  </si>
  <si>
    <t>Building modifications</t>
  </si>
  <si>
    <t>Immediately deductible for tax</t>
  </si>
  <si>
    <t>Initial inventory (working capital)</t>
  </si>
  <si>
    <t>Recovered at end of project</t>
  </si>
  <si>
    <t>Equipment salvage value, end of Year 9</t>
  </si>
  <si>
    <t>Sold below written-down value → tax saving on loss</t>
  </si>
  <si>
    <t>ANNUAL DRIVERS (Years 1-5 from case; Years 6-9 escalated by formula)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</si>
  <si>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</si>
  <si>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</si>
  <si>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</si>
  <si>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</si>
  <si>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</si>
  <si>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</si>
  <si>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</si>
  <si>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</si>
  <si>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</si>
  <si>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New product sales revenue</t>
  </si>
  <si>
    <t>Contract manufacturing revenue</t>
  </si>
  <si>
    <t>Raw materials — new product</t>
  </si>
  <si>
    <t>Raw materials — contract manufacturing</t>
  </si>
  <si>
    <t>Lost sales of existing tablet (gross revenue)</t>
  </si>
  <si>
    <t>Factory wages</t>
  </si>
  <si>
    <t>Advertising</t>
  </si>
  <si>
    <t>Maintenance</t>
  </si>
  <si>
    <t>Accounts receivable balance (year end)</t>
  </si>
  <si>
    <t>SUNK COSTS — EXCLUDED FROM THE MODEL</t>
  </si>
  <si>
    <t>Research and development already incurred</t>
  </si>
  <si>
    <t>European market research trip</t>
  </si>
  <si>
    <t>Trips to India</t>
  </si>
  <si>
    <t>Legal expenses</t>
  </si>
  <si>
    <t>Total sunk cost excluded</t>
  </si>
  <si>
    <t>Already incurred and unavoidable — irrelevant to the accept/reject decision</t>
  </si>
  <si>
    <t>ALSO EXCLUDED: the $600,000 loan principal and interest (financing flows already priced into the 18% discount rate); accounting depreciation and amortisation of the building modification (non-cash).</t>
  </si>
  <si>
    <t>Gross commitment vs. net Year 0 free cash flow. The tax deduction on building modifications is taken in Year 0 (group decision).</t>
  </si>
  <si>
    <t>Amount</t>
  </si>
  <si>
    <t>Capitalised; depreciated over the 12-year tax life</t>
  </si>
  <si>
    <t>Fully deductible in the year incurred</t>
  </si>
  <si>
    <t>Increase in inventory (working capital)</t>
  </si>
  <si>
    <t>Recovered in full at the end of Year 9</t>
  </si>
  <si>
    <t>Gross initial commitment</t>
  </si>
  <si>
    <t>This is NOT the Year 0 net free cash flow</t>
  </si>
  <si>
    <t>Less: tax saving on building modifications</t>
  </si>
  <si>
    <t>$95,000 x 30% = $28,500. Recognised in Year 0.</t>
  </si>
  <si>
    <t>NET YEAR 0 FREE CASH FLOW</t>
  </si>
  <si>
    <t>Straight line over the 12-year TAX life, not the 9-year project life. Equipment is sold in Year 9 with book value remaining.</t>
  </si>
  <si>
    <t>Tax year</t>
  </si>
  <si>
    <t>Opening written-down value</t>
  </si>
  <si>
    <t>Annual tax depreciation</t>
  </si>
  <si>
    <t>Closing written-down value</t>
  </si>
  <si>
    <t>TERMINAL VALUE OF EQUIPMENT (END OF YEAR 9)</t>
  </si>
  <si>
    <t>Written-down value at end of Year 9</t>
  </si>
  <si>
    <t>Only 9 of the 12 tax years have elapsed</t>
  </si>
  <si>
    <t>Sale proceeds (salvage value)</t>
  </si>
  <si>
    <t>Case estimate</t>
  </si>
  <si>
    <t>Loss on disposal</t>
  </si>
  <si>
    <t>Sold below written-down value</t>
  </si>
  <si>
    <t>Tax saving on the loss</t>
  </si>
  <si>
    <t>Loss is deductible at 30%</t>
  </si>
  <si>
    <t>NET AFTER-TAX SALVAGE (Year 9 inflow)</t>
  </si>
  <si>
    <t>Flows into the Year 9 cash flow</t>
  </si>
  <si>
    <t>Inventory is committed at Year 0. Receivables build with sales. The entire balance is released at the end of Year 9.</t>
  </si>
  <si>
    <t>Year 0</t>
  </si>
  <si>
    <t>Accounts receivable balance</t>
  </si>
  <si>
    <t>Inventory balance</t>
  </si>
  <si>
    <t>Total working capital balance</t>
  </si>
  <si>
    <t>Increase / (decrease) in working capital</t>
  </si>
  <si>
    <t>Cash flow impact (Years 1-9)</t>
  </si>
  <si>
    <t>Working capital recovered at end of Year 9</t>
  </si>
  <si>
    <t>Full closing balance released as the project winds up</t>
  </si>
  <si>
    <t>Base case INCLUDES contract manufacturing revenue per management instruction. All figures nominal AUD; discounted at the 18% nominal hurdle rate.</t>
  </si>
  <si>
    <t>REVENUE</t>
  </si>
  <si>
    <t>New product sales</t>
  </si>
  <si>
    <t>Contract manufacturing sales</t>
  </si>
  <si>
    <t>Total revenue</t>
  </si>
  <si>
    <t>OPERATING COSTS (incremental)</t>
  </si>
  <si>
    <t>Cannibalisation of existing tablet (net)</t>
  </si>
  <si>
    <t>Total operating costs</t>
  </si>
  <si>
    <t>EBITDA</t>
  </si>
  <si>
    <t>Tax depreciation</t>
  </si>
  <si>
    <t>EBIT</t>
  </si>
  <si>
    <t>Tax @ 30%</t>
  </si>
  <si>
    <t>Net operating profit after tax</t>
  </si>
  <si>
    <t>Add back tax depreciation (non-cash)</t>
  </si>
  <si>
    <t>OPERATING CASH FLOW</t>
  </si>
  <si>
    <t>CAPITAL &amp; TERMINAL FLOWS</t>
  </si>
  <si>
    <t>Initial investment outlay (net of tax saving)</t>
  </si>
  <si>
    <t>Change in working capital</t>
  </si>
  <si>
    <t>Net after-tax salvage of equipment</t>
  </si>
  <si>
    <t>Working capital recovered</t>
  </si>
  <si>
    <t>NET FREE CASH FLOW</t>
  </si>
  <si>
    <t>Discount factor @ 18%</t>
  </si>
  <si>
    <t>Present value of net free cash flow</t>
  </si>
  <si>
    <t>Cumulative net free cash flow</t>
  </si>
  <si>
    <t>Cumulative discounted net free cash flow</t>
  </si>
  <si>
    <t>Note: Year 1 factory overhead and wages include the component attributable to contract manufacturing. Removing contract manufacturing (Section 4.1) requires stripping rows 7, 11, the contract share of row 14, and the $55,000 wage component in row 13.</t>
  </si>
  <si>
    <t>MODEL FROZEN 12 August 2026. Every figure below is driven by formula from the Assumptions sheet.</t>
  </si>
  <si>
    <t>Metric</t>
  </si>
  <si>
    <t>Base case</t>
  </si>
  <si>
    <t>Interpretation</t>
  </si>
  <si>
    <t>Net present value at 18%</t>
  </si>
  <si>
    <t>Positive NPV — the project adds value at the Board’s hurdle rate</t>
  </si>
  <si>
    <t>Internal rate of return</t>
  </si>
  <si>
    <t>Compare against the 18% required return</t>
  </si>
  <si>
    <t>Profitability index</t>
  </si>
  <si>
    <t>PV of future flows per dollar of initial outlay</t>
  </si>
  <si>
    <t>Payback period (years)</t>
  </si>
  <si>
    <t>Undiscounted — ignores the time value of money</t>
  </si>
  <si>
    <t>Discounted payback period (years)</t>
  </si>
  <si>
    <t>Against the 9-year project life</t>
  </si>
  <si>
    <t>RECONCILIATION CHECKS</t>
  </si>
  <si>
    <t>Agrees to case: $1,515,000 + $95,000 + $195,000 = $1,805,000</t>
  </si>
  <si>
    <t>Net Year 0 free cash flow</t>
  </si>
  <si>
    <t>Gross commitment less the $28,500 building modification tax saving</t>
  </si>
  <si>
    <t>Net after-tax salvage, Year 9</t>
  </si>
  <si>
    <t>Target per work plan: $281,625</t>
  </si>
  <si>
    <t>Working capital recovered, Year 9</t>
  </si>
  <si>
    <t>Target per work plan: ~$697,235</t>
  </si>
  <si>
    <t>Research, trips and legal fees — correctly outside the model</t>
  </si>
  <si>
    <t>Remarks</t>
  </si>
  <si>
    <t>Input Value</t>
  </si>
  <si>
    <t>(Year 0) Amount</t>
  </si>
  <si>
    <t>Initial Investment Outlay (Year 0)</t>
  </si>
  <si>
    <t>Tax Depreciation &amp; Terminal Value of Equipment</t>
  </si>
  <si>
    <t>Working Capital</t>
  </si>
  <si>
    <t>Particulars</t>
  </si>
  <si>
    <t>Base-Case Net Free Cash Flow, Years 0 to 9</t>
  </si>
  <si>
    <t xml:space="preserve">Particulars </t>
  </si>
  <si>
    <t>Investment Decision Metrics (Base Case)</t>
  </si>
  <si>
    <t>n/a — in Initial Investment Outlay (Year 0)</t>
  </si>
  <si>
    <t>Personcare Pharmaceuticals Limited — Psyllium Husk Powder Project:
Assumptions &amp; Input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</si>
</sst>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;&quot;($&quot;#,##0\);\-"/>
    <numFmt numFmtId="166" formatCode="0.0000"/>
    <numFmt numFmtId="167" formatCode="0.00\x"/>
  </numFmts>
  <fonts count="15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8"/>
      <color theme="0"/>
      <name val="Calibri"/>
      <family val="2"/>
      <scheme val="minor"/>
    </font>
    <font>
      <i/>
      <sz val="12"/>
      <color theme="1" tint="0.499984740745262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i/>
      <sz val="12"/>
      <color rgb="FF60606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rgb="FFE2EFDA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rgb="FF333333"/>
      </patternFill>
    </fill>
    <fill>
      <patternFill patternType="solid">
        <fgColor theme="0"/>
        <bgColor rgb="FFE2EFDA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D9E2F3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1" fontId="1" fillId="5" borderId="10" xfId="0" applyNumberFormat="1" applyFont="1" applyFill="1" applyBorder="1" applyAlignment="1">
      <alignment horizontal="center" vertical="center"/>
    </xf>
    <xf numFmtId="164" fontId="1" fillId="5" borderId="10" xfId="0" applyNumberFormat="1" applyFont="1" applyFill="1" applyBorder="1" applyAlignment="1">
      <alignment horizontal="center" vertical="center"/>
    </xf>
    <xf numFmtId="165" fontId="1" fillId="5" borderId="10" xfId="0" applyNumberFormat="1" applyFont="1" applyFill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/>
    <xf numFmtId="0" fontId="1" fillId="0" borderId="8" xfId="0" applyFont="1" applyBorder="1" applyAlignment="1">
      <alignment wrapText="1"/>
    </xf>
    <xf numFmtId="0" fontId="1" fillId="0" borderId="9" xfId="0" applyFont="1" applyBorder="1"/>
    <xf numFmtId="0" fontId="9" fillId="6" borderId="0" xfId="0" applyFont="1" applyFill="1" applyAlignment="1">
      <alignment horizontal="center" vertical="center"/>
    </xf>
    <xf numFmtId="1" fontId="1" fillId="5" borderId="15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164" fontId="1" fillId="5" borderId="24" xfId="0" applyNumberFormat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 wrapText="1"/>
    </xf>
    <xf numFmtId="165" fontId="1" fillId="5" borderId="15" xfId="0" applyNumberFormat="1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165" fontId="1" fillId="5" borderId="24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6" fillId="0" borderId="20" xfId="0" applyNumberFormat="1" applyFont="1" applyBorder="1" applyAlignment="1">
      <alignment horizontal="center" vertical="center"/>
    </xf>
    <xf numFmtId="165" fontId="6" fillId="0" borderId="22" xfId="0" applyNumberFormat="1" applyFont="1" applyBorder="1" applyAlignment="1">
      <alignment horizontal="center" vertical="center"/>
    </xf>
    <xf numFmtId="165" fontId="1" fillId="0" borderId="24" xfId="0" applyNumberFormat="1" applyFont="1" applyBorder="1" applyAlignment="1">
      <alignment horizontal="center" vertical="center"/>
    </xf>
    <xf numFmtId="165" fontId="6" fillId="0" borderId="24" xfId="0" applyNumberFormat="1" applyFont="1" applyBorder="1" applyAlignment="1">
      <alignment horizontal="center" vertical="center"/>
    </xf>
    <xf numFmtId="165" fontId="6" fillId="0" borderId="25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165" fontId="1" fillId="0" borderId="17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8" xfId="0" applyFont="1" applyBorder="1"/>
    <xf numFmtId="0" fontId="6" fillId="0" borderId="23" xfId="0" applyFont="1" applyBorder="1" applyAlignment="1">
      <alignment horizontal="left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6" fillId="0" borderId="17" xfId="0" applyNumberFormat="1" applyFont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165" fontId="6" fillId="0" borderId="36" xfId="0" applyNumberFormat="1" applyFont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13" fillId="0" borderId="0" xfId="0" applyFont="1"/>
    <xf numFmtId="0" fontId="13" fillId="8" borderId="37" xfId="0" applyFont="1" applyFill="1" applyBorder="1" applyAlignment="1">
      <alignment horizontal="center" vertical="center"/>
    </xf>
    <xf numFmtId="0" fontId="13" fillId="8" borderId="38" xfId="0" applyFont="1" applyFill="1" applyBorder="1" applyAlignment="1">
      <alignment horizontal="center" vertical="center"/>
    </xf>
    <xf numFmtId="0" fontId="13" fillId="8" borderId="30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7" xfId="0" applyFont="1" applyFill="1" applyBorder="1" applyAlignment="1">
      <alignment horizontal="center" vertical="center"/>
    </xf>
    <xf numFmtId="0" fontId="1" fillId="8" borderId="38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1" fillId="0" borderId="22" xfId="0" applyNumberFormat="1" applyFont="1" applyBorder="1" applyAlignment="1">
      <alignment horizontal="center" vertical="center"/>
    </xf>
    <xf numFmtId="165" fontId="1" fillId="0" borderId="25" xfId="0" applyNumberFormat="1" applyFont="1" applyBorder="1" applyAlignment="1">
      <alignment horizontal="center" vertical="center"/>
    </xf>
    <xf numFmtId="166" fontId="6" fillId="0" borderId="15" xfId="0" applyNumberFormat="1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166" fontId="6" fillId="0" borderId="20" xfId="0" applyNumberFormat="1" applyFont="1" applyBorder="1" applyAlignment="1">
      <alignment horizontal="center" vertical="center"/>
    </xf>
    <xf numFmtId="0" fontId="13" fillId="0" borderId="6" xfId="0" applyFont="1" applyBorder="1"/>
    <xf numFmtId="0" fontId="5" fillId="0" borderId="39" xfId="0" applyFont="1" applyBorder="1" applyAlignment="1">
      <alignment horizontal="left" vertical="center"/>
    </xf>
    <xf numFmtId="165" fontId="6" fillId="0" borderId="32" xfId="0" applyNumberFormat="1" applyFont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 wrapText="1"/>
    </xf>
    <xf numFmtId="10" fontId="6" fillId="10" borderId="10" xfId="0" applyNumberFormat="1" applyFont="1" applyFill="1" applyBorder="1" applyAlignment="1">
      <alignment horizontal="center" vertical="center"/>
    </xf>
    <xf numFmtId="167" fontId="6" fillId="10" borderId="10" xfId="0" applyNumberFormat="1" applyFont="1" applyFill="1" applyBorder="1" applyAlignment="1">
      <alignment horizontal="center" vertical="center"/>
    </xf>
    <xf numFmtId="2" fontId="6" fillId="10" borderId="10" xfId="0" applyNumberFormat="1" applyFont="1" applyFill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2" fontId="6" fillId="10" borderId="24" xfId="0" applyNumberFormat="1" applyFont="1" applyFill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165" fontId="6" fillId="10" borderId="15" xfId="0" applyNumberFormat="1" applyFont="1" applyFill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165" fontId="1" fillId="0" borderId="31" xfId="0" applyNumberFormat="1" applyFont="1" applyBorder="1" applyAlignment="1">
      <alignment horizontal="center" vertical="center" wrapText="1"/>
    </xf>
    <xf numFmtId="165" fontId="1" fillId="0" borderId="32" xfId="0" applyNumberFormat="1" applyFont="1" applyBorder="1" applyAlignment="1">
      <alignment horizontal="center" vertical="center" wrapText="1"/>
    </xf>
    <xf numFmtId="165" fontId="1" fillId="0" borderId="33" xfId="0" applyNumberFormat="1" applyFont="1" applyBorder="1" applyAlignment="1">
      <alignment horizontal="center" vertical="center" wrapText="1"/>
    </xf>
    <xf numFmtId="165" fontId="1" fillId="0" borderId="34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165" fontId="1" fillId="0" borderId="29" xfId="0" applyNumberFormat="1" applyFont="1" applyBorder="1" applyAlignment="1">
      <alignment horizontal="center" vertical="center" wrapText="1"/>
    </xf>
    <xf numFmtId="165" fontId="1" fillId="0" borderId="30" xfId="0" applyNumberFormat="1" applyFont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 wrapText="1"/>
    </xf>
    <xf numFmtId="0" fontId="2" fillId="7" borderId="28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3"/>
  <sheetViews>
    <sheetView showGridLines="0" tabSelected="1" zoomScaleNormal="100" workbookViewId="0">
      <selection activeCell="C4" sqref="C4:J4"/>
    </sheetView>
  </sheetViews>
  <sheetFormatPr baseColWidth="10" defaultColWidth="8.6640625" defaultRowHeight="16" x14ac:dyDescent="0.2"/>
  <cols>
    <col min="1" max="2" width="8.6640625" style="1"/>
    <col min="3" max="3" width="61.83203125" style="2" customWidth="1"/>
    <col min="4" max="4" width="14.6640625" style="1" bestFit="1" customWidth="1"/>
    <col min="5" max="5" width="42" style="6" customWidth="1"/>
    <col min="6" max="13" width="13" style="1" customWidth="1"/>
    <col min="14" max="16384" width="8.6640625" style="1"/>
  </cols>
  <sheetData>
    <row r="1" spans="2:14" ht="17" thickBot="1" x14ac:dyDescent="0.25"/>
    <row r="2" spans="2:14" x14ac:dyDescent="0.2">
      <c r="B2" s="11"/>
      <c r="C2" s="12"/>
      <c r="D2" s="13"/>
      <c r="E2" s="14"/>
      <c r="F2" s="13"/>
      <c r="G2" s="13"/>
      <c r="H2" s="13"/>
      <c r="I2" s="13"/>
      <c r="J2" s="13"/>
      <c r="K2" s="13"/>
      <c r="L2" s="13"/>
      <c r="M2" s="13"/>
      <c r="N2" s="15"/>
    </row>
    <row r="3" spans="2:14" ht="61" customHeight="1" x14ac:dyDescent="0.2">
      <c r="B3" s="16"/>
      <c r="C3" s="134" t="s">
        <v>152</v>
      </c>
      <c r="D3" s="134"/>
      <c r="E3" s="134"/>
      <c r="F3" s="134"/>
      <c r="G3" s="134"/>
      <c r="H3" s="134"/>
      <c r="I3" s="134"/>
      <c r="J3" s="134"/>
      <c r="N3" s="17"/>
    </row>
    <row r="4" spans="2:14" ht="35" customHeight="1" x14ac:dyDescent="0.2">
      <c r="B4" s="16"/>
      <c r="C4" s="135" t="s">
        <v>0</v>
      </c>
      <c r="D4" s="135"/>
      <c r="E4" s="135"/>
      <c r="F4" s="135"/>
      <c r="G4" s="135"/>
      <c r="H4" s="135"/>
      <c r="I4" s="135"/>
      <c r="J4" s="135"/>
      <c r="N4" s="17"/>
    </row>
    <row r="5" spans="2:14" ht="17" thickBot="1" x14ac:dyDescent="0.25">
      <c r="B5" s="16"/>
      <c r="C5" s="24"/>
      <c r="D5" s="24"/>
      <c r="E5" s="24"/>
      <c r="N5" s="17"/>
    </row>
    <row r="6" spans="2:14" ht="18" thickBot="1" x14ac:dyDescent="0.25">
      <c r="B6" s="16"/>
      <c r="C6" s="26" t="s">
        <v>1</v>
      </c>
      <c r="D6" s="27" t="s">
        <v>142</v>
      </c>
      <c r="E6" s="28" t="s">
        <v>141</v>
      </c>
      <c r="F6" s="18"/>
      <c r="G6" s="18"/>
      <c r="H6" s="18"/>
      <c r="I6" s="18"/>
      <c r="J6" s="18"/>
      <c r="K6" s="18"/>
      <c r="L6" s="18"/>
      <c r="M6" s="18"/>
      <c r="N6" s="17"/>
    </row>
    <row r="7" spans="2:14" ht="17" x14ac:dyDescent="0.2">
      <c r="B7" s="16"/>
      <c r="C7" s="29" t="s">
        <v>2</v>
      </c>
      <c r="D7" s="25">
        <v>9</v>
      </c>
      <c r="E7" s="30" t="s">
        <v>3</v>
      </c>
      <c r="F7" s="18"/>
      <c r="G7" s="18"/>
      <c r="H7" s="18"/>
      <c r="I7" s="18"/>
      <c r="J7" s="18"/>
      <c r="K7" s="18"/>
      <c r="L7" s="18"/>
      <c r="M7" s="18"/>
      <c r="N7" s="17"/>
    </row>
    <row r="8" spans="2:14" ht="34" x14ac:dyDescent="0.2">
      <c r="B8" s="16"/>
      <c r="C8" s="31" t="s">
        <v>4</v>
      </c>
      <c r="D8" s="7">
        <v>12</v>
      </c>
      <c r="E8" s="32" t="s">
        <v>5</v>
      </c>
      <c r="F8" s="18"/>
      <c r="G8" s="18"/>
      <c r="H8" s="18"/>
      <c r="I8" s="18"/>
      <c r="J8" s="18"/>
      <c r="K8" s="18"/>
      <c r="L8" s="18"/>
      <c r="M8" s="18"/>
      <c r="N8" s="17"/>
    </row>
    <row r="9" spans="2:14" ht="17" x14ac:dyDescent="0.2">
      <c r="B9" s="16"/>
      <c r="C9" s="31" t="s">
        <v>6</v>
      </c>
      <c r="D9" s="8">
        <v>0.18</v>
      </c>
      <c r="E9" s="32" t="s">
        <v>7</v>
      </c>
      <c r="F9" s="18"/>
      <c r="G9" s="18"/>
      <c r="H9" s="18"/>
      <c r="I9" s="18"/>
      <c r="J9" s="18"/>
      <c r="K9" s="18"/>
      <c r="L9" s="18"/>
      <c r="M9" s="18"/>
      <c r="N9" s="17"/>
    </row>
    <row r="10" spans="2:14" ht="17" x14ac:dyDescent="0.2">
      <c r="B10" s="16"/>
      <c r="C10" s="31" t="s">
        <v>8</v>
      </c>
      <c r="D10" s="8">
        <v>0.3</v>
      </c>
      <c r="E10" s="32" t="s">
        <v>9</v>
      </c>
      <c r="F10" s="18"/>
      <c r="G10" s="18"/>
      <c r="H10" s="18"/>
      <c r="I10" s="18"/>
      <c r="J10" s="18"/>
      <c r="K10" s="18"/>
      <c r="L10" s="18"/>
      <c r="M10" s="18"/>
      <c r="N10" s="17"/>
    </row>
    <row r="11" spans="2:14" ht="17" x14ac:dyDescent="0.2">
      <c r="B11" s="16"/>
      <c r="C11" s="31" t="s">
        <v>10</v>
      </c>
      <c r="D11" s="8">
        <v>2.5000000000000001E-2</v>
      </c>
      <c r="E11" s="32" t="s">
        <v>11</v>
      </c>
      <c r="F11" s="18"/>
      <c r="G11" s="18"/>
      <c r="H11" s="18"/>
      <c r="I11" s="18"/>
      <c r="J11" s="18"/>
      <c r="K11" s="18"/>
      <c r="L11" s="18"/>
      <c r="M11" s="18"/>
      <c r="N11" s="17"/>
    </row>
    <row r="12" spans="2:14" ht="17" x14ac:dyDescent="0.2">
      <c r="B12" s="16"/>
      <c r="C12" s="31" t="s">
        <v>12</v>
      </c>
      <c r="D12" s="8">
        <v>3.5000000000000003E-2</v>
      </c>
      <c r="E12" s="32" t="s">
        <v>13</v>
      </c>
      <c r="F12" s="18"/>
      <c r="G12" s="18"/>
      <c r="H12" s="18"/>
      <c r="I12" s="18"/>
      <c r="J12" s="18"/>
      <c r="K12" s="18"/>
      <c r="L12" s="18"/>
      <c r="M12" s="18"/>
      <c r="N12" s="17"/>
    </row>
    <row r="13" spans="2:14" ht="17" x14ac:dyDescent="0.2">
      <c r="B13" s="16"/>
      <c r="C13" s="31" t="s">
        <v>14</v>
      </c>
      <c r="D13" s="8">
        <v>2.5000000000000001E-2</v>
      </c>
      <c r="E13" s="32" t="s">
        <v>15</v>
      </c>
      <c r="F13" s="18"/>
      <c r="G13" s="18"/>
      <c r="H13" s="18"/>
      <c r="I13" s="18"/>
      <c r="J13" s="18"/>
      <c r="K13" s="18"/>
      <c r="L13" s="18"/>
      <c r="M13" s="18"/>
      <c r="N13" s="17"/>
    </row>
    <row r="14" spans="2:14" ht="34" x14ac:dyDescent="0.2">
      <c r="B14" s="16"/>
      <c r="C14" s="31" t="s">
        <v>16</v>
      </c>
      <c r="D14" s="8">
        <v>0.18</v>
      </c>
      <c r="E14" s="32" t="s">
        <v>17</v>
      </c>
      <c r="F14" s="18"/>
      <c r="G14" s="18"/>
      <c r="H14" s="18"/>
      <c r="I14" s="18"/>
      <c r="J14" s="18"/>
      <c r="K14" s="18"/>
      <c r="L14" s="18"/>
      <c r="M14" s="18"/>
      <c r="N14" s="17"/>
    </row>
    <row r="15" spans="2:14" ht="35" thickBot="1" x14ac:dyDescent="0.25">
      <c r="B15" s="16"/>
      <c r="C15" s="33" t="s">
        <v>18</v>
      </c>
      <c r="D15" s="34">
        <v>0.3</v>
      </c>
      <c r="E15" s="35" t="s">
        <v>19</v>
      </c>
      <c r="F15" s="18"/>
      <c r="G15" s="18"/>
      <c r="H15" s="18"/>
      <c r="I15" s="18"/>
      <c r="J15" s="18"/>
      <c r="K15" s="18"/>
      <c r="L15" s="18"/>
      <c r="M15" s="18"/>
      <c r="N15" s="17"/>
    </row>
    <row r="16" spans="2:14" ht="17" thickBot="1" x14ac:dyDescent="0.25">
      <c r="B16" s="63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7"/>
    </row>
    <row r="17" spans="2:14" ht="18" thickBot="1" x14ac:dyDescent="0.25">
      <c r="B17" s="16"/>
      <c r="C17" s="26" t="s">
        <v>20</v>
      </c>
      <c r="D17" s="27" t="s">
        <v>143</v>
      </c>
      <c r="E17" s="37" t="s">
        <v>141</v>
      </c>
      <c r="F17" s="18"/>
      <c r="G17" s="18"/>
      <c r="H17" s="18"/>
      <c r="I17" s="18"/>
      <c r="J17" s="18"/>
      <c r="K17" s="18"/>
      <c r="L17" s="18"/>
      <c r="M17" s="18"/>
      <c r="N17" s="17"/>
    </row>
    <row r="18" spans="2:14" ht="17" x14ac:dyDescent="0.2">
      <c r="B18" s="16"/>
      <c r="C18" s="38" t="s">
        <v>21</v>
      </c>
      <c r="D18" s="36">
        <v>1515000</v>
      </c>
      <c r="E18" s="30" t="s">
        <v>22</v>
      </c>
      <c r="F18" s="18"/>
      <c r="G18" s="18"/>
      <c r="H18" s="18"/>
      <c r="I18" s="18"/>
      <c r="J18" s="18"/>
      <c r="K18" s="18"/>
      <c r="L18" s="18"/>
      <c r="M18" s="18"/>
      <c r="N18" s="17"/>
    </row>
    <row r="19" spans="2:14" ht="17" x14ac:dyDescent="0.2">
      <c r="B19" s="16"/>
      <c r="C19" s="39" t="s">
        <v>23</v>
      </c>
      <c r="D19" s="9">
        <v>95000</v>
      </c>
      <c r="E19" s="32" t="s">
        <v>24</v>
      </c>
      <c r="F19" s="18"/>
      <c r="G19" s="18"/>
      <c r="H19" s="18"/>
      <c r="I19" s="18"/>
      <c r="J19" s="18"/>
      <c r="K19" s="18"/>
      <c r="L19" s="18"/>
      <c r="M19" s="18"/>
      <c r="N19" s="17"/>
    </row>
    <row r="20" spans="2:14" ht="17" x14ac:dyDescent="0.2">
      <c r="B20" s="16"/>
      <c r="C20" s="39" t="s">
        <v>25</v>
      </c>
      <c r="D20" s="9">
        <v>195000</v>
      </c>
      <c r="E20" s="32" t="s">
        <v>26</v>
      </c>
      <c r="F20" s="18"/>
      <c r="G20" s="18"/>
      <c r="H20" s="18"/>
      <c r="I20" s="18"/>
      <c r="J20" s="18"/>
      <c r="K20" s="18"/>
      <c r="L20" s="18"/>
      <c r="M20" s="18"/>
      <c r="N20" s="17"/>
    </row>
    <row r="21" spans="2:14" ht="35" thickBot="1" x14ac:dyDescent="0.25">
      <c r="B21" s="16"/>
      <c r="C21" s="40" t="s">
        <v>27</v>
      </c>
      <c r="D21" s="41">
        <v>240000</v>
      </c>
      <c r="E21" s="35" t="s">
        <v>28</v>
      </c>
      <c r="F21" s="18"/>
      <c r="G21" s="18"/>
      <c r="H21" s="18"/>
      <c r="I21" s="18"/>
      <c r="J21" s="18"/>
      <c r="K21" s="18"/>
      <c r="L21" s="18"/>
      <c r="M21" s="18"/>
      <c r="N21" s="17"/>
    </row>
    <row r="22" spans="2:14" ht="17" thickBot="1" x14ac:dyDescent="0.25">
      <c r="B22" s="63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7"/>
    </row>
    <row r="23" spans="2:14" ht="18" customHeight="1" thickBot="1" x14ac:dyDescent="0.25">
      <c r="B23" s="16"/>
      <c r="C23" s="45" t="s">
        <v>29</v>
      </c>
      <c r="D23" s="138" t="s">
        <v>30</v>
      </c>
      <c r="E23" s="139"/>
      <c r="F23" s="46" t="s">
        <v>31</v>
      </c>
      <c r="G23" s="46" t="s">
        <v>32</v>
      </c>
      <c r="H23" s="46" t="s">
        <v>33</v>
      </c>
      <c r="I23" s="46" t="s">
        <v>34</v>
      </c>
      <c r="J23" s="46" t="s">
        <v>35</v>
      </c>
      <c r="K23" s="46" t="s">
        <v>36</v>
      </c>
      <c r="L23" s="46" t="s">
        <v>37</v>
      </c>
      <c r="M23" s="47" t="s">
        <v>38</v>
      </c>
      <c r="N23" s="17"/>
    </row>
    <row r="24" spans="2:14" ht="17" x14ac:dyDescent="0.2">
      <c r="B24" s="16"/>
      <c r="C24" s="38" t="s">
        <v>39</v>
      </c>
      <c r="D24" s="136">
        <v>1650000</v>
      </c>
      <c r="E24" s="137"/>
      <c r="F24" s="43">
        <v>2250000</v>
      </c>
      <c r="G24" s="43">
        <v>2800000</v>
      </c>
      <c r="H24" s="43">
        <v>3350000</v>
      </c>
      <c r="I24" s="43">
        <v>3650000</v>
      </c>
      <c r="J24" s="44">
        <f t="shared" ref="J24:M28" si="0">I24*(1+$D$11)</f>
        <v>3741249.9999999995</v>
      </c>
      <c r="K24" s="44">
        <f t="shared" si="0"/>
        <v>3834781.2499999991</v>
      </c>
      <c r="L24" s="44">
        <f t="shared" si="0"/>
        <v>3930650.7812499986</v>
      </c>
      <c r="M24" s="51">
        <f t="shared" si="0"/>
        <v>4028917.0507812481</v>
      </c>
      <c r="N24" s="17"/>
    </row>
    <row r="25" spans="2:14" ht="17" x14ac:dyDescent="0.2">
      <c r="B25" s="16"/>
      <c r="C25" s="39" t="s">
        <v>40</v>
      </c>
      <c r="D25" s="129">
        <v>280000</v>
      </c>
      <c r="E25" s="130"/>
      <c r="F25" s="10">
        <v>360000</v>
      </c>
      <c r="G25" s="10">
        <v>430000</v>
      </c>
      <c r="H25" s="10">
        <v>480000</v>
      </c>
      <c r="I25" s="10">
        <v>530000</v>
      </c>
      <c r="J25" s="5">
        <f t="shared" si="0"/>
        <v>543250</v>
      </c>
      <c r="K25" s="5">
        <f t="shared" si="0"/>
        <v>556831.25</v>
      </c>
      <c r="L25" s="5">
        <f t="shared" si="0"/>
        <v>570752.03125</v>
      </c>
      <c r="M25" s="52">
        <f t="shared" si="0"/>
        <v>585020.83203125</v>
      </c>
      <c r="N25" s="17"/>
    </row>
    <row r="26" spans="2:14" ht="17" x14ac:dyDescent="0.2">
      <c r="B26" s="16"/>
      <c r="C26" s="39" t="s">
        <v>41</v>
      </c>
      <c r="D26" s="129">
        <v>460000</v>
      </c>
      <c r="E26" s="130"/>
      <c r="F26" s="10">
        <v>620000</v>
      </c>
      <c r="G26" s="10">
        <v>760000</v>
      </c>
      <c r="H26" s="10">
        <v>900000</v>
      </c>
      <c r="I26" s="10">
        <v>990000</v>
      </c>
      <c r="J26" s="5">
        <f t="shared" si="0"/>
        <v>1014749.9999999999</v>
      </c>
      <c r="K26" s="5">
        <f t="shared" si="0"/>
        <v>1040118.7499999998</v>
      </c>
      <c r="L26" s="5">
        <f t="shared" si="0"/>
        <v>1066121.7187499998</v>
      </c>
      <c r="M26" s="52">
        <f t="shared" si="0"/>
        <v>1092774.7617187498</v>
      </c>
      <c r="N26" s="17"/>
    </row>
    <row r="27" spans="2:14" ht="17" x14ac:dyDescent="0.2">
      <c r="B27" s="16"/>
      <c r="C27" s="39" t="s">
        <v>42</v>
      </c>
      <c r="D27" s="129">
        <v>75000</v>
      </c>
      <c r="E27" s="130"/>
      <c r="F27" s="10">
        <v>93000</v>
      </c>
      <c r="G27" s="10">
        <v>110000</v>
      </c>
      <c r="H27" s="10">
        <v>125000</v>
      </c>
      <c r="I27" s="10">
        <v>138000</v>
      </c>
      <c r="J27" s="5">
        <f t="shared" si="0"/>
        <v>141450</v>
      </c>
      <c r="K27" s="5">
        <f t="shared" si="0"/>
        <v>144986.25</v>
      </c>
      <c r="L27" s="5">
        <f t="shared" si="0"/>
        <v>148610.90625</v>
      </c>
      <c r="M27" s="52">
        <f t="shared" si="0"/>
        <v>152326.17890624999</v>
      </c>
      <c r="N27" s="17"/>
    </row>
    <row r="28" spans="2:14" ht="17" x14ac:dyDescent="0.2">
      <c r="B28" s="16"/>
      <c r="C28" s="39" t="s">
        <v>43</v>
      </c>
      <c r="D28" s="129">
        <v>384300</v>
      </c>
      <c r="E28" s="130"/>
      <c r="F28" s="10">
        <v>516600</v>
      </c>
      <c r="G28" s="10">
        <v>598500</v>
      </c>
      <c r="H28" s="10">
        <v>667800</v>
      </c>
      <c r="I28" s="10">
        <v>749700</v>
      </c>
      <c r="J28" s="5">
        <f t="shared" si="0"/>
        <v>768442.49999999988</v>
      </c>
      <c r="K28" s="5">
        <f t="shared" si="0"/>
        <v>787653.56249999977</v>
      </c>
      <c r="L28" s="5">
        <f t="shared" si="0"/>
        <v>807344.9015624997</v>
      </c>
      <c r="M28" s="52">
        <f t="shared" si="0"/>
        <v>827528.5241015621</v>
      </c>
      <c r="N28" s="17"/>
    </row>
    <row r="29" spans="2:14" ht="17" x14ac:dyDescent="0.2">
      <c r="B29" s="16"/>
      <c r="C29" s="39" t="s">
        <v>44</v>
      </c>
      <c r="D29" s="129">
        <v>225000</v>
      </c>
      <c r="E29" s="130"/>
      <c r="F29" s="10">
        <f>D29*(1+$D$12)</f>
        <v>232874.99999999997</v>
      </c>
      <c r="G29" s="10">
        <f>F29*(1+$D$12)</f>
        <v>241025.62499999994</v>
      </c>
      <c r="H29" s="10">
        <f>G29*(1+$D$12)</f>
        <v>249461.52187499992</v>
      </c>
      <c r="I29" s="10">
        <f>H29*(1+$D$12)</f>
        <v>258192.67514062489</v>
      </c>
      <c r="J29" s="5">
        <f>I29*(1+$D$13)</f>
        <v>264647.49201914051</v>
      </c>
      <c r="K29" s="5">
        <f>J29*(1+$D$13)</f>
        <v>271263.67931961903</v>
      </c>
      <c r="L29" s="5">
        <f>K29*(1+$D$13)</f>
        <v>278045.27130260947</v>
      </c>
      <c r="M29" s="52">
        <f>L29*(1+$D$13)</f>
        <v>284996.40308517468</v>
      </c>
      <c r="N29" s="17"/>
    </row>
    <row r="30" spans="2:14" ht="17" x14ac:dyDescent="0.2">
      <c r="B30" s="16"/>
      <c r="C30" s="39" t="s">
        <v>45</v>
      </c>
      <c r="D30" s="129">
        <v>410000</v>
      </c>
      <c r="E30" s="130"/>
      <c r="F30" s="10">
        <v>410000</v>
      </c>
      <c r="G30" s="10">
        <v>280000</v>
      </c>
      <c r="H30" s="10">
        <v>210000</v>
      </c>
      <c r="I30" s="10">
        <v>180000</v>
      </c>
      <c r="J30" s="5">
        <f>I30</f>
        <v>180000</v>
      </c>
      <c r="K30" s="5">
        <f>I30</f>
        <v>180000</v>
      </c>
      <c r="L30" s="5">
        <f>I30</f>
        <v>180000</v>
      </c>
      <c r="M30" s="52">
        <f>I30</f>
        <v>180000</v>
      </c>
      <c r="N30" s="17"/>
    </row>
    <row r="31" spans="2:14" ht="17" x14ac:dyDescent="0.2">
      <c r="B31" s="16"/>
      <c r="C31" s="39" t="s">
        <v>46</v>
      </c>
      <c r="D31" s="129">
        <v>0</v>
      </c>
      <c r="E31" s="130"/>
      <c r="F31" s="10">
        <v>0</v>
      </c>
      <c r="G31" s="10">
        <v>19000</v>
      </c>
      <c r="H31" s="10">
        <v>35000</v>
      </c>
      <c r="I31" s="10">
        <v>52000</v>
      </c>
      <c r="J31" s="5">
        <f t="shared" ref="J31:M32" si="1">I31*(1+$D$11)</f>
        <v>53299.999999999993</v>
      </c>
      <c r="K31" s="5">
        <f t="shared" si="1"/>
        <v>54632.499999999985</v>
      </c>
      <c r="L31" s="5">
        <f t="shared" si="1"/>
        <v>55998.312499999978</v>
      </c>
      <c r="M31" s="52">
        <f t="shared" si="1"/>
        <v>57398.270312499975</v>
      </c>
      <c r="N31" s="17"/>
    </row>
    <row r="32" spans="2:14" ht="18" thickBot="1" x14ac:dyDescent="0.25">
      <c r="B32" s="16"/>
      <c r="C32" s="40" t="s">
        <v>47</v>
      </c>
      <c r="D32" s="131">
        <v>212000</v>
      </c>
      <c r="E32" s="132"/>
      <c r="F32" s="53">
        <v>278000</v>
      </c>
      <c r="G32" s="53">
        <v>355000</v>
      </c>
      <c r="H32" s="53">
        <v>418000</v>
      </c>
      <c r="I32" s="53">
        <v>455000</v>
      </c>
      <c r="J32" s="54">
        <f t="shared" si="1"/>
        <v>466374.99999999994</v>
      </c>
      <c r="K32" s="54">
        <f t="shared" si="1"/>
        <v>478034.37499999988</v>
      </c>
      <c r="L32" s="54">
        <f t="shared" si="1"/>
        <v>489985.23437499983</v>
      </c>
      <c r="M32" s="55">
        <f t="shared" si="1"/>
        <v>502234.86523437477</v>
      </c>
      <c r="N32" s="17"/>
    </row>
    <row r="33" spans="2:14" ht="17" thickBot="1" x14ac:dyDescent="0.25">
      <c r="B33" s="16"/>
      <c r="D33" s="18"/>
      <c r="E33" s="50"/>
      <c r="F33" s="18"/>
      <c r="G33" s="18"/>
      <c r="H33" s="18"/>
      <c r="I33" s="18"/>
      <c r="J33" s="18"/>
      <c r="K33" s="18"/>
      <c r="L33" s="18"/>
      <c r="M33" s="18"/>
      <c r="N33" s="17"/>
    </row>
    <row r="34" spans="2:14" ht="18" thickBot="1" x14ac:dyDescent="0.25">
      <c r="B34" s="16"/>
      <c r="C34" s="26" t="s">
        <v>48</v>
      </c>
      <c r="D34" s="27" t="s">
        <v>57</v>
      </c>
      <c r="E34" s="28" t="s">
        <v>141</v>
      </c>
      <c r="F34" s="18"/>
      <c r="G34" s="18"/>
      <c r="H34" s="18"/>
      <c r="I34" s="18"/>
      <c r="J34" s="18"/>
      <c r="K34" s="18"/>
      <c r="L34" s="18"/>
      <c r="M34" s="18"/>
      <c r="N34" s="17"/>
    </row>
    <row r="35" spans="2:14" ht="17" x14ac:dyDescent="0.2">
      <c r="B35" s="16"/>
      <c r="C35" s="38" t="s">
        <v>49</v>
      </c>
      <c r="D35" s="43">
        <v>250000</v>
      </c>
      <c r="E35" s="59"/>
      <c r="F35" s="18"/>
      <c r="G35" s="18"/>
      <c r="H35" s="18"/>
      <c r="I35" s="18"/>
      <c r="J35" s="18"/>
      <c r="K35" s="18"/>
      <c r="L35" s="18"/>
      <c r="M35" s="18"/>
      <c r="N35" s="17"/>
    </row>
    <row r="36" spans="2:14" ht="17" x14ac:dyDescent="0.2">
      <c r="B36" s="16"/>
      <c r="C36" s="39" t="s">
        <v>50</v>
      </c>
      <c r="D36" s="10">
        <v>30000</v>
      </c>
      <c r="E36" s="60"/>
      <c r="F36" s="18"/>
      <c r="G36" s="18"/>
      <c r="H36" s="18"/>
      <c r="I36" s="18"/>
      <c r="J36" s="18"/>
      <c r="K36" s="18"/>
      <c r="L36" s="18"/>
      <c r="M36" s="18"/>
      <c r="N36" s="17"/>
    </row>
    <row r="37" spans="2:14" ht="17" x14ac:dyDescent="0.2">
      <c r="B37" s="16"/>
      <c r="C37" s="39" t="s">
        <v>51</v>
      </c>
      <c r="D37" s="10">
        <v>40000</v>
      </c>
      <c r="E37" s="60"/>
      <c r="F37" s="18"/>
      <c r="G37" s="18"/>
      <c r="H37" s="18"/>
      <c r="I37" s="18"/>
      <c r="J37" s="18"/>
      <c r="K37" s="18"/>
      <c r="L37" s="18"/>
      <c r="M37" s="18"/>
      <c r="N37" s="17"/>
    </row>
    <row r="38" spans="2:14" ht="18" thickBot="1" x14ac:dyDescent="0.25">
      <c r="B38" s="16"/>
      <c r="C38" s="61" t="s">
        <v>52</v>
      </c>
      <c r="D38" s="48">
        <v>12000</v>
      </c>
      <c r="E38" s="62"/>
      <c r="F38" s="18"/>
      <c r="G38" s="18"/>
      <c r="H38" s="18"/>
      <c r="I38" s="18"/>
      <c r="J38" s="18"/>
      <c r="K38" s="18"/>
      <c r="L38" s="18"/>
      <c r="M38" s="18"/>
      <c r="N38" s="17"/>
    </row>
    <row r="39" spans="2:14" ht="35" thickBot="1" x14ac:dyDescent="0.25">
      <c r="B39" s="16"/>
      <c r="C39" s="56" t="s">
        <v>53</v>
      </c>
      <c r="D39" s="57">
        <f>SUM(D35:D38)</f>
        <v>332000</v>
      </c>
      <c r="E39" s="58" t="s">
        <v>54</v>
      </c>
      <c r="F39" s="18"/>
      <c r="G39" s="18"/>
      <c r="H39" s="18"/>
      <c r="I39" s="18"/>
      <c r="J39" s="18"/>
      <c r="K39" s="18"/>
      <c r="L39" s="18"/>
      <c r="M39" s="18"/>
      <c r="N39" s="17"/>
    </row>
    <row r="40" spans="2:14" x14ac:dyDescent="0.2">
      <c r="B40" s="16"/>
      <c r="D40" s="18"/>
      <c r="E40" s="50"/>
      <c r="F40" s="18"/>
      <c r="G40" s="18"/>
      <c r="H40" s="18"/>
      <c r="I40" s="18"/>
      <c r="J40" s="18"/>
      <c r="K40" s="18"/>
      <c r="L40" s="18"/>
      <c r="M40" s="18"/>
      <c r="N40" s="17"/>
    </row>
    <row r="41" spans="2:14" ht="51" customHeight="1" x14ac:dyDescent="0.2">
      <c r="B41" s="16"/>
      <c r="C41" s="133" t="s">
        <v>55</v>
      </c>
      <c r="D41" s="133"/>
      <c r="E41" s="133"/>
      <c r="F41" s="18"/>
      <c r="G41" s="18"/>
      <c r="H41" s="18"/>
      <c r="I41" s="18"/>
      <c r="J41" s="18"/>
      <c r="K41" s="18"/>
      <c r="L41" s="18"/>
      <c r="M41" s="18"/>
      <c r="N41" s="17"/>
    </row>
    <row r="42" spans="2:14" x14ac:dyDescent="0.2">
      <c r="B42" s="16"/>
      <c r="N42" s="17"/>
    </row>
    <row r="43" spans="2:14" ht="17" thickBot="1" x14ac:dyDescent="0.25">
      <c r="B43" s="19"/>
      <c r="C43" s="20"/>
      <c r="D43" s="21"/>
      <c r="E43" s="22"/>
      <c r="F43" s="21"/>
      <c r="G43" s="21"/>
      <c r="H43" s="21"/>
      <c r="I43" s="21"/>
      <c r="J43" s="21"/>
      <c r="K43" s="21"/>
      <c r="L43" s="21"/>
      <c r="M43" s="21"/>
      <c r="N43" s="23"/>
    </row>
  </sheetData>
  <mergeCells count="13">
    <mergeCell ref="C3:J3"/>
    <mergeCell ref="C4:J4"/>
    <mergeCell ref="D24:E24"/>
    <mergeCell ref="D25:E25"/>
    <mergeCell ref="D23:E23"/>
    <mergeCell ref="D31:E31"/>
    <mergeCell ref="D32:E32"/>
    <mergeCell ref="C41:E41"/>
    <mergeCell ref="D30:E30"/>
    <mergeCell ref="D26:E26"/>
    <mergeCell ref="D27:E27"/>
    <mergeCell ref="D28:E28"/>
    <mergeCell ref="D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3:L25"/>
  <sheetViews>
    <sheetView showGridLines="0" zoomScaleNormal="100" workbookViewId="0">
      <selection activeCell="I34" sqref="I34"/>
    </sheetView>
  </sheetViews>
  <sheetFormatPr baseColWidth="10" defaultColWidth="8.6640625" defaultRowHeight="16" x14ac:dyDescent="0.2"/>
  <cols>
    <col min="1" max="8" width="8.6640625" style="1"/>
    <col min="9" max="9" width="46" style="1" customWidth="1"/>
    <col min="10" max="10" width="16" style="1" customWidth="1"/>
    <col min="11" max="11" width="44.83203125" style="1" customWidth="1"/>
    <col min="12" max="16384" width="8.6640625" style="1"/>
  </cols>
  <sheetData>
    <row r="13" spans="8:12" ht="17" thickBot="1" x14ac:dyDescent="0.25"/>
    <row r="14" spans="8:12" ht="17" thickBot="1" x14ac:dyDescent="0.25">
      <c r="H14" s="11"/>
      <c r="I14" s="13"/>
      <c r="J14" s="13"/>
      <c r="K14" s="13"/>
      <c r="L14" s="15"/>
    </row>
    <row r="15" spans="8:12" ht="25" thickBot="1" x14ac:dyDescent="0.25">
      <c r="H15" s="16"/>
      <c r="I15" s="140" t="s">
        <v>144</v>
      </c>
      <c r="J15" s="141"/>
      <c r="K15" s="142"/>
      <c r="L15" s="17"/>
    </row>
    <row r="16" spans="8:12" x14ac:dyDescent="0.2">
      <c r="H16" s="16"/>
      <c r="I16" s="143" t="s">
        <v>56</v>
      </c>
      <c r="J16" s="143"/>
      <c r="K16" s="143"/>
      <c r="L16" s="17"/>
    </row>
    <row r="17" spans="8:12" ht="17" thickBot="1" x14ac:dyDescent="0.25">
      <c r="H17" s="16"/>
      <c r="L17" s="17"/>
    </row>
    <row r="18" spans="8:12" ht="17" thickBot="1" x14ac:dyDescent="0.25">
      <c r="H18" s="16"/>
      <c r="I18" s="66" t="s">
        <v>147</v>
      </c>
      <c r="J18" s="67" t="s">
        <v>57</v>
      </c>
      <c r="K18" s="68" t="s">
        <v>141</v>
      </c>
      <c r="L18" s="17"/>
    </row>
    <row r="19" spans="8:12" x14ac:dyDescent="0.2">
      <c r="H19" s="16"/>
      <c r="I19" s="71" t="s">
        <v>21</v>
      </c>
      <c r="J19" s="43">
        <f>Assumptions!$D$18</f>
        <v>1515000</v>
      </c>
      <c r="K19" s="69" t="s">
        <v>58</v>
      </c>
      <c r="L19" s="17"/>
    </row>
    <row r="20" spans="8:12" x14ac:dyDescent="0.2">
      <c r="H20" s="16"/>
      <c r="I20" s="72" t="s">
        <v>23</v>
      </c>
      <c r="J20" s="10">
        <f>Assumptions!$D$19</f>
        <v>95000</v>
      </c>
      <c r="K20" s="70" t="s">
        <v>59</v>
      </c>
      <c r="L20" s="17"/>
    </row>
    <row r="21" spans="8:12" x14ac:dyDescent="0.2">
      <c r="H21" s="16"/>
      <c r="I21" s="72" t="s">
        <v>60</v>
      </c>
      <c r="J21" s="10">
        <f>Assumptions!$D$20</f>
        <v>195000</v>
      </c>
      <c r="K21" s="70" t="s">
        <v>61</v>
      </c>
      <c r="L21" s="17"/>
    </row>
    <row r="22" spans="8:12" x14ac:dyDescent="0.2">
      <c r="H22" s="16"/>
      <c r="I22" s="72" t="s">
        <v>62</v>
      </c>
      <c r="J22" s="10">
        <f>SUM(J19:J21)</f>
        <v>1805000</v>
      </c>
      <c r="K22" s="70" t="s">
        <v>63</v>
      </c>
      <c r="L22" s="17"/>
    </row>
    <row r="23" spans="8:12" ht="17" thickBot="1" x14ac:dyDescent="0.25">
      <c r="H23" s="16"/>
      <c r="I23" s="73" t="s">
        <v>64</v>
      </c>
      <c r="J23" s="48">
        <f>Assumptions!$D$19*Assumptions!$D$10</f>
        <v>28500</v>
      </c>
      <c r="K23" s="74" t="s">
        <v>65</v>
      </c>
      <c r="L23" s="17"/>
    </row>
    <row r="24" spans="8:12" ht="17" thickBot="1" x14ac:dyDescent="0.25">
      <c r="H24" s="16"/>
      <c r="I24" s="75" t="s">
        <v>66</v>
      </c>
      <c r="J24" s="57">
        <f>-(J22-J23)</f>
        <v>-1776500</v>
      </c>
      <c r="K24" s="76"/>
      <c r="L24" s="17"/>
    </row>
    <row r="25" spans="8:12" ht="17" thickBot="1" x14ac:dyDescent="0.25">
      <c r="H25" s="19"/>
      <c r="I25" s="21"/>
      <c r="J25" s="21"/>
      <c r="K25" s="21"/>
      <c r="L25" s="23"/>
    </row>
  </sheetData>
  <mergeCells count="2">
    <mergeCell ref="I15:K15"/>
    <mergeCell ref="I16:K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3:P30"/>
  <sheetViews>
    <sheetView showGridLines="0" zoomScaleNormal="100" workbookViewId="0">
      <selection activeCell="F33" sqref="F33"/>
    </sheetView>
  </sheetViews>
  <sheetFormatPr baseColWidth="10" defaultColWidth="8.6640625" defaultRowHeight="15" x14ac:dyDescent="0.2"/>
  <cols>
    <col min="3" max="3" width="45" bestFit="1" customWidth="1"/>
    <col min="4" max="4" width="12" customWidth="1"/>
    <col min="5" max="5" width="34.33203125" customWidth="1"/>
    <col min="6" max="15" width="12" customWidth="1"/>
  </cols>
  <sheetData>
    <row r="13" spans="2:16" ht="16" thickBot="1" x14ac:dyDescent="0.25"/>
    <row r="14" spans="2:16" x14ac:dyDescent="0.2">
      <c r="B14" s="82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4"/>
    </row>
    <row r="15" spans="2:16" ht="25" customHeight="1" x14ac:dyDescent="0.2">
      <c r="B15" s="85"/>
      <c r="C15" s="144" t="s">
        <v>145</v>
      </c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86"/>
    </row>
    <row r="16" spans="2:16" ht="16" x14ac:dyDescent="0.2">
      <c r="B16" s="85"/>
      <c r="C16" s="146" t="s">
        <v>67</v>
      </c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86"/>
    </row>
    <row r="17" spans="2:16" ht="17" thickBot="1" x14ac:dyDescent="0.25">
      <c r="B17" s="8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86"/>
    </row>
    <row r="18" spans="2:16" ht="17" thickBot="1" x14ac:dyDescent="0.25">
      <c r="B18" s="85"/>
      <c r="C18" s="66" t="s">
        <v>68</v>
      </c>
      <c r="D18" s="67">
        <v>1</v>
      </c>
      <c r="E18" s="67">
        <v>2</v>
      </c>
      <c r="F18" s="67">
        <v>3</v>
      </c>
      <c r="G18" s="67">
        <v>4</v>
      </c>
      <c r="H18" s="67">
        <v>5</v>
      </c>
      <c r="I18" s="67">
        <v>6</v>
      </c>
      <c r="J18" s="67">
        <v>7</v>
      </c>
      <c r="K18" s="67">
        <v>8</v>
      </c>
      <c r="L18" s="67">
        <v>9</v>
      </c>
      <c r="M18" s="67">
        <v>10</v>
      </c>
      <c r="N18" s="67">
        <v>11</v>
      </c>
      <c r="O18" s="68">
        <v>12</v>
      </c>
      <c r="P18" s="86"/>
    </row>
    <row r="19" spans="2:16" ht="16" x14ac:dyDescent="0.2">
      <c r="B19" s="85"/>
      <c r="C19" s="65" t="s">
        <v>69</v>
      </c>
      <c r="D19" s="44">
        <f>Assumptions!$D$18</f>
        <v>1515000</v>
      </c>
      <c r="E19" s="44">
        <f t="shared" ref="E19:O19" si="0">D21</f>
        <v>1388750</v>
      </c>
      <c r="F19" s="44">
        <f t="shared" si="0"/>
        <v>1262500</v>
      </c>
      <c r="G19" s="44">
        <f t="shared" si="0"/>
        <v>1136250</v>
      </c>
      <c r="H19" s="44">
        <f t="shared" si="0"/>
        <v>1010000</v>
      </c>
      <c r="I19" s="44">
        <f t="shared" si="0"/>
        <v>883750</v>
      </c>
      <c r="J19" s="44">
        <f t="shared" si="0"/>
        <v>757500</v>
      </c>
      <c r="K19" s="44">
        <f t="shared" si="0"/>
        <v>631250</v>
      </c>
      <c r="L19" s="44">
        <f t="shared" si="0"/>
        <v>505000</v>
      </c>
      <c r="M19" s="44">
        <f t="shared" si="0"/>
        <v>378750</v>
      </c>
      <c r="N19" s="44">
        <f t="shared" si="0"/>
        <v>252500</v>
      </c>
      <c r="O19" s="51">
        <f t="shared" si="0"/>
        <v>126250</v>
      </c>
      <c r="P19" s="86"/>
    </row>
    <row r="20" spans="2:16" ht="16" x14ac:dyDescent="0.2">
      <c r="B20" s="85"/>
      <c r="C20" s="64" t="s">
        <v>70</v>
      </c>
      <c r="D20" s="5">
        <f>-Assumptions!$D$18/Assumptions!$D$8</f>
        <v>-126250</v>
      </c>
      <c r="E20" s="5">
        <f>-Assumptions!$D$18/Assumptions!$D$8</f>
        <v>-126250</v>
      </c>
      <c r="F20" s="5">
        <f>-Assumptions!$D$18/Assumptions!$D$8</f>
        <v>-126250</v>
      </c>
      <c r="G20" s="5">
        <f>-Assumptions!$D$18/Assumptions!$D$8</f>
        <v>-126250</v>
      </c>
      <c r="H20" s="5">
        <f>-Assumptions!$D$18/Assumptions!$D$8</f>
        <v>-126250</v>
      </c>
      <c r="I20" s="5">
        <f>-Assumptions!$D$18/Assumptions!$D$8</f>
        <v>-126250</v>
      </c>
      <c r="J20" s="5">
        <f>-Assumptions!$D$18/Assumptions!$D$8</f>
        <v>-126250</v>
      </c>
      <c r="K20" s="5">
        <f>-Assumptions!$D$18/Assumptions!$D$8</f>
        <v>-126250</v>
      </c>
      <c r="L20" s="5">
        <f>-Assumptions!$D$18/Assumptions!$D$8</f>
        <v>-126250</v>
      </c>
      <c r="M20" s="5">
        <f>-Assumptions!$D$18/Assumptions!$D$8</f>
        <v>-126250</v>
      </c>
      <c r="N20" s="5">
        <f>-Assumptions!$D$18/Assumptions!$D$8</f>
        <v>-126250</v>
      </c>
      <c r="O20" s="52">
        <f>-Assumptions!$D$18/Assumptions!$D$8</f>
        <v>-126250</v>
      </c>
      <c r="P20" s="86"/>
    </row>
    <row r="21" spans="2:16" ht="17" thickBot="1" x14ac:dyDescent="0.25">
      <c r="B21" s="85"/>
      <c r="C21" s="77" t="s">
        <v>71</v>
      </c>
      <c r="D21" s="54">
        <f t="shared" ref="D21:O21" si="1">D19+D20</f>
        <v>1388750</v>
      </c>
      <c r="E21" s="54">
        <f t="shared" si="1"/>
        <v>1262500</v>
      </c>
      <c r="F21" s="54">
        <f t="shared" si="1"/>
        <v>1136250</v>
      </c>
      <c r="G21" s="54">
        <f t="shared" si="1"/>
        <v>1010000</v>
      </c>
      <c r="H21" s="54">
        <f t="shared" si="1"/>
        <v>883750</v>
      </c>
      <c r="I21" s="54">
        <f t="shared" si="1"/>
        <v>757500</v>
      </c>
      <c r="J21" s="54">
        <f t="shared" si="1"/>
        <v>631250</v>
      </c>
      <c r="K21" s="54">
        <f t="shared" si="1"/>
        <v>505000</v>
      </c>
      <c r="L21" s="54">
        <f t="shared" si="1"/>
        <v>378750</v>
      </c>
      <c r="M21" s="54">
        <f t="shared" si="1"/>
        <v>252500</v>
      </c>
      <c r="N21" s="54">
        <f t="shared" si="1"/>
        <v>126250</v>
      </c>
      <c r="O21" s="55">
        <f t="shared" si="1"/>
        <v>0</v>
      </c>
      <c r="P21" s="86"/>
    </row>
    <row r="22" spans="2:16" ht="16" x14ac:dyDescent="0.2">
      <c r="B22" s="8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86"/>
    </row>
    <row r="23" spans="2:16" ht="17" thickBot="1" x14ac:dyDescent="0.25">
      <c r="B23" s="8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86"/>
    </row>
    <row r="24" spans="2:16" ht="17" thickBot="1" x14ac:dyDescent="0.25">
      <c r="B24" s="85"/>
      <c r="C24" s="78" t="s">
        <v>72</v>
      </c>
      <c r="D24" s="79" t="s">
        <v>57</v>
      </c>
      <c r="E24" s="80" t="s">
        <v>141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86"/>
    </row>
    <row r="25" spans="2:16" ht="16" x14ac:dyDescent="0.2">
      <c r="B25" s="85"/>
      <c r="C25" s="65" t="s">
        <v>73</v>
      </c>
      <c r="D25" s="44">
        <f>L21</f>
        <v>378750</v>
      </c>
      <c r="E25" s="69" t="s">
        <v>74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86"/>
    </row>
    <row r="26" spans="2:16" ht="16" x14ac:dyDescent="0.2">
      <c r="B26" s="85"/>
      <c r="C26" s="64" t="s">
        <v>75</v>
      </c>
      <c r="D26" s="5">
        <f>Assumptions!$D$21</f>
        <v>240000</v>
      </c>
      <c r="E26" s="70" t="s">
        <v>76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86"/>
    </row>
    <row r="27" spans="2:16" ht="16" x14ac:dyDescent="0.2">
      <c r="B27" s="85"/>
      <c r="C27" s="64" t="s">
        <v>77</v>
      </c>
      <c r="D27" s="5">
        <f>D26-D25</f>
        <v>-138750</v>
      </c>
      <c r="E27" s="70" t="s">
        <v>78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86"/>
    </row>
    <row r="28" spans="2:16" ht="16" x14ac:dyDescent="0.2">
      <c r="B28" s="85"/>
      <c r="C28" s="64" t="s">
        <v>79</v>
      </c>
      <c r="D28" s="5">
        <f>-D27*Assumptions!$D$10</f>
        <v>41625</v>
      </c>
      <c r="E28" s="70" t="s">
        <v>80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86"/>
    </row>
    <row r="29" spans="2:16" ht="17" thickBot="1" x14ac:dyDescent="0.25">
      <c r="B29" s="85"/>
      <c r="C29" s="77" t="s">
        <v>81</v>
      </c>
      <c r="D29" s="54">
        <f>D26+D28</f>
        <v>281625</v>
      </c>
      <c r="E29" s="81" t="s">
        <v>82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86"/>
    </row>
    <row r="30" spans="2:16" ht="16" thickBot="1" x14ac:dyDescent="0.25">
      <c r="B30" s="87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9"/>
    </row>
  </sheetData>
  <mergeCells count="2">
    <mergeCell ref="C15:O15"/>
    <mergeCell ref="C16:O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13:Q25"/>
  <sheetViews>
    <sheetView showGridLines="0" zoomScaleNormal="100" workbookViewId="0">
      <selection activeCell="J32" sqref="J32"/>
    </sheetView>
  </sheetViews>
  <sheetFormatPr baseColWidth="10" defaultColWidth="8.6640625" defaultRowHeight="15" x14ac:dyDescent="0.2"/>
  <cols>
    <col min="6" max="6" width="42" customWidth="1"/>
    <col min="7" max="7" width="18.33203125" bestFit="1" customWidth="1"/>
    <col min="8" max="17" width="12" customWidth="1"/>
  </cols>
  <sheetData>
    <row r="13" spans="5:17" ht="16" thickBot="1" x14ac:dyDescent="0.25"/>
    <row r="14" spans="5:17" x14ac:dyDescent="0.2">
      <c r="E14" s="82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4"/>
    </row>
    <row r="15" spans="5:17" ht="24" customHeight="1" x14ac:dyDescent="0.2">
      <c r="E15" s="85"/>
      <c r="F15" s="144" t="s">
        <v>146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86"/>
    </row>
    <row r="16" spans="5:17" ht="16" x14ac:dyDescent="0.2">
      <c r="E16" s="85"/>
      <c r="F16" s="146" t="s">
        <v>83</v>
      </c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86"/>
    </row>
    <row r="17" spans="5:17" ht="17" thickBot="1" x14ac:dyDescent="0.25">
      <c r="E17" s="8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86"/>
    </row>
    <row r="18" spans="5:17" ht="17" thickBot="1" x14ac:dyDescent="0.25">
      <c r="E18" s="85"/>
      <c r="F18" s="91" t="s">
        <v>147</v>
      </c>
      <c r="G18" s="46" t="s">
        <v>84</v>
      </c>
      <c r="H18" s="46" t="s">
        <v>30</v>
      </c>
      <c r="I18" s="46" t="s">
        <v>31</v>
      </c>
      <c r="J18" s="46" t="s">
        <v>32</v>
      </c>
      <c r="K18" s="46" t="s">
        <v>33</v>
      </c>
      <c r="L18" s="46" t="s">
        <v>34</v>
      </c>
      <c r="M18" s="46" t="s">
        <v>35</v>
      </c>
      <c r="N18" s="46" t="s">
        <v>36</v>
      </c>
      <c r="O18" s="46" t="s">
        <v>37</v>
      </c>
      <c r="P18" s="47" t="s">
        <v>38</v>
      </c>
      <c r="Q18" s="86"/>
    </row>
    <row r="19" spans="5:17" ht="16" x14ac:dyDescent="0.2">
      <c r="E19" s="85"/>
      <c r="F19" s="65" t="s">
        <v>85</v>
      </c>
      <c r="G19" s="44">
        <v>0</v>
      </c>
      <c r="H19" s="44">
        <f>Assumptions!D32</f>
        <v>212000</v>
      </c>
      <c r="I19" s="44">
        <f>Assumptions!F32</f>
        <v>278000</v>
      </c>
      <c r="J19" s="44">
        <f>Assumptions!G32</f>
        <v>355000</v>
      </c>
      <c r="K19" s="44">
        <f>Assumptions!H32</f>
        <v>418000</v>
      </c>
      <c r="L19" s="44">
        <f>Assumptions!I32</f>
        <v>455000</v>
      </c>
      <c r="M19" s="44">
        <f>Assumptions!J32</f>
        <v>466374.99999999994</v>
      </c>
      <c r="N19" s="44">
        <f>Assumptions!K32</f>
        <v>478034.37499999988</v>
      </c>
      <c r="O19" s="44">
        <f>Assumptions!L32</f>
        <v>489985.23437499983</v>
      </c>
      <c r="P19" s="51">
        <f>Assumptions!M32</f>
        <v>502234.86523437477</v>
      </c>
      <c r="Q19" s="86"/>
    </row>
    <row r="20" spans="5:17" ht="16" x14ac:dyDescent="0.2">
      <c r="E20" s="85"/>
      <c r="F20" s="64" t="s">
        <v>86</v>
      </c>
      <c r="G20" s="5">
        <f>Assumptions!$D$20</f>
        <v>195000</v>
      </c>
      <c r="H20" s="5">
        <f>Assumptions!$D$20</f>
        <v>195000</v>
      </c>
      <c r="I20" s="5">
        <f>Assumptions!$D$20</f>
        <v>195000</v>
      </c>
      <c r="J20" s="5">
        <f>Assumptions!$D$20</f>
        <v>195000</v>
      </c>
      <c r="K20" s="5">
        <f>Assumptions!$D$20</f>
        <v>195000</v>
      </c>
      <c r="L20" s="5">
        <f>Assumptions!$D$20</f>
        <v>195000</v>
      </c>
      <c r="M20" s="5">
        <f>Assumptions!$D$20</f>
        <v>195000</v>
      </c>
      <c r="N20" s="5">
        <f>Assumptions!$D$20</f>
        <v>195000</v>
      </c>
      <c r="O20" s="5">
        <f>Assumptions!$D$20</f>
        <v>195000</v>
      </c>
      <c r="P20" s="52">
        <f>Assumptions!$D$20</f>
        <v>195000</v>
      </c>
      <c r="Q20" s="86"/>
    </row>
    <row r="21" spans="5:17" ht="16" x14ac:dyDescent="0.2">
      <c r="E21" s="85"/>
      <c r="F21" s="64" t="s">
        <v>87</v>
      </c>
      <c r="G21" s="5">
        <f t="shared" ref="G21:P21" si="0">G19+G20</f>
        <v>195000</v>
      </c>
      <c r="H21" s="5">
        <f t="shared" si="0"/>
        <v>407000</v>
      </c>
      <c r="I21" s="5">
        <f t="shared" si="0"/>
        <v>473000</v>
      </c>
      <c r="J21" s="5">
        <f t="shared" si="0"/>
        <v>550000</v>
      </c>
      <c r="K21" s="5">
        <f t="shared" si="0"/>
        <v>613000</v>
      </c>
      <c r="L21" s="5">
        <f t="shared" si="0"/>
        <v>650000</v>
      </c>
      <c r="M21" s="5">
        <f t="shared" si="0"/>
        <v>661375</v>
      </c>
      <c r="N21" s="5">
        <f t="shared" si="0"/>
        <v>673034.37499999988</v>
      </c>
      <c r="O21" s="5">
        <f t="shared" si="0"/>
        <v>684985.23437499977</v>
      </c>
      <c r="P21" s="52">
        <f t="shared" si="0"/>
        <v>697234.86523437477</v>
      </c>
      <c r="Q21" s="86"/>
    </row>
    <row r="22" spans="5:17" ht="16" x14ac:dyDescent="0.2">
      <c r="E22" s="85"/>
      <c r="F22" s="64" t="s">
        <v>88</v>
      </c>
      <c r="G22" s="5">
        <f>G21</f>
        <v>195000</v>
      </c>
      <c r="H22" s="5">
        <f t="shared" ref="H22:P22" si="1">H21-G21</f>
        <v>212000</v>
      </c>
      <c r="I22" s="5">
        <f t="shared" si="1"/>
        <v>66000</v>
      </c>
      <c r="J22" s="5">
        <f t="shared" si="1"/>
        <v>77000</v>
      </c>
      <c r="K22" s="5">
        <f t="shared" si="1"/>
        <v>63000</v>
      </c>
      <c r="L22" s="5">
        <f t="shared" si="1"/>
        <v>37000</v>
      </c>
      <c r="M22" s="5">
        <f t="shared" si="1"/>
        <v>11375</v>
      </c>
      <c r="N22" s="5">
        <f t="shared" si="1"/>
        <v>11659.374999999884</v>
      </c>
      <c r="O22" s="5">
        <f t="shared" si="1"/>
        <v>11950.859374999884</v>
      </c>
      <c r="P22" s="52">
        <f t="shared" si="1"/>
        <v>12249.630859375</v>
      </c>
      <c r="Q22" s="86"/>
    </row>
    <row r="23" spans="5:17" ht="52" thickBot="1" x14ac:dyDescent="0.25">
      <c r="E23" s="85"/>
      <c r="F23" s="103" t="s">
        <v>89</v>
      </c>
      <c r="G23" s="128" t="s">
        <v>151</v>
      </c>
      <c r="H23" s="49">
        <f t="shared" ref="H23:P23" si="2">-H22</f>
        <v>-212000</v>
      </c>
      <c r="I23" s="49">
        <f t="shared" si="2"/>
        <v>-66000</v>
      </c>
      <c r="J23" s="49">
        <f t="shared" si="2"/>
        <v>-77000</v>
      </c>
      <c r="K23" s="49">
        <f t="shared" si="2"/>
        <v>-63000</v>
      </c>
      <c r="L23" s="49">
        <f t="shared" si="2"/>
        <v>-37000</v>
      </c>
      <c r="M23" s="49">
        <f t="shared" si="2"/>
        <v>-11375</v>
      </c>
      <c r="N23" s="49">
        <f t="shared" si="2"/>
        <v>-11659.374999999884</v>
      </c>
      <c r="O23" s="49">
        <f t="shared" si="2"/>
        <v>-11950.859374999884</v>
      </c>
      <c r="P23" s="92">
        <f t="shared" si="2"/>
        <v>-12249.630859375</v>
      </c>
      <c r="Q23" s="86"/>
    </row>
    <row r="24" spans="5:17" ht="17" thickBot="1" x14ac:dyDescent="0.25">
      <c r="E24" s="85"/>
      <c r="F24" s="104" t="s">
        <v>90</v>
      </c>
      <c r="G24" s="90">
        <f>P21</f>
        <v>697234.86523437477</v>
      </c>
      <c r="H24" s="147" t="s">
        <v>91</v>
      </c>
      <c r="I24" s="148"/>
      <c r="J24" s="148"/>
      <c r="K24" s="148"/>
      <c r="L24" s="148"/>
      <c r="M24" s="148"/>
      <c r="N24" s="148"/>
      <c r="O24" s="148"/>
      <c r="P24" s="149"/>
      <c r="Q24" s="86"/>
    </row>
    <row r="25" spans="5:17" ht="16" thickBot="1" x14ac:dyDescent="0.25">
      <c r="E25" s="87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9"/>
    </row>
  </sheetData>
  <mergeCells count="3">
    <mergeCell ref="H24:P24"/>
    <mergeCell ref="F15:P15"/>
    <mergeCell ref="F16:P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40"/>
  <sheetViews>
    <sheetView showGridLines="0" zoomScaleNormal="100" workbookViewId="0">
      <selection activeCell="D11" sqref="D11"/>
    </sheetView>
  </sheetViews>
  <sheetFormatPr baseColWidth="10" defaultColWidth="8.6640625" defaultRowHeight="15" x14ac:dyDescent="0.2"/>
  <cols>
    <col min="4" max="4" width="44" customWidth="1"/>
    <col min="5" max="15" width="13" customWidth="1"/>
  </cols>
  <sheetData>
    <row r="1" spans="2:15" ht="16" thickBot="1" x14ac:dyDescent="0.25"/>
    <row r="2" spans="2:15" x14ac:dyDescent="0.2"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4"/>
    </row>
    <row r="3" spans="2:15" ht="24" customHeight="1" x14ac:dyDescent="0.2">
      <c r="C3" s="85"/>
      <c r="D3" s="144" t="s">
        <v>148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86"/>
    </row>
    <row r="4" spans="2:15" ht="16" x14ac:dyDescent="0.2">
      <c r="C4" s="85"/>
      <c r="D4" s="146" t="s">
        <v>92</v>
      </c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86"/>
    </row>
    <row r="5" spans="2:15" ht="17" thickBot="1" x14ac:dyDescent="0.25">
      <c r="C5" s="8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86"/>
    </row>
    <row r="6" spans="2:15" ht="17" thickBot="1" x14ac:dyDescent="0.25">
      <c r="C6" s="85"/>
      <c r="D6" s="93" t="s">
        <v>149</v>
      </c>
      <c r="E6" s="46" t="s">
        <v>84</v>
      </c>
      <c r="F6" s="46" t="s">
        <v>30</v>
      </c>
      <c r="G6" s="46" t="s">
        <v>31</v>
      </c>
      <c r="H6" s="46" t="s">
        <v>32</v>
      </c>
      <c r="I6" s="46" t="s">
        <v>33</v>
      </c>
      <c r="J6" s="46" t="s">
        <v>34</v>
      </c>
      <c r="K6" s="46" t="s">
        <v>35</v>
      </c>
      <c r="L6" s="46" t="s">
        <v>36</v>
      </c>
      <c r="M6" s="46" t="s">
        <v>37</v>
      </c>
      <c r="N6" s="47" t="s">
        <v>38</v>
      </c>
      <c r="O6" s="86"/>
    </row>
    <row r="7" spans="2:15" s="94" customFormat="1" ht="16" thickBot="1" x14ac:dyDescent="0.25">
      <c r="B7"/>
      <c r="C7" s="85"/>
      <c r="D7" s="98" t="s">
        <v>93</v>
      </c>
      <c r="E7" s="97"/>
      <c r="F7" s="95"/>
      <c r="G7" s="95"/>
      <c r="H7" s="95"/>
      <c r="I7" s="95"/>
      <c r="J7" s="95"/>
      <c r="K7" s="95"/>
      <c r="L7" s="95"/>
      <c r="M7" s="95"/>
      <c r="N7" s="96"/>
      <c r="O7" s="112"/>
    </row>
    <row r="8" spans="2:15" ht="16" x14ac:dyDescent="0.2">
      <c r="C8" s="85"/>
      <c r="D8" s="65" t="s">
        <v>94</v>
      </c>
      <c r="E8" s="3"/>
      <c r="F8" s="5">
        <f>Assumptions!D24</f>
        <v>1650000</v>
      </c>
      <c r="G8" s="5">
        <f>Assumptions!F24</f>
        <v>2250000</v>
      </c>
      <c r="H8" s="5">
        <f>Assumptions!G24</f>
        <v>2800000</v>
      </c>
      <c r="I8" s="5">
        <f>Assumptions!H24</f>
        <v>3350000</v>
      </c>
      <c r="J8" s="5">
        <f>Assumptions!I24</f>
        <v>3650000</v>
      </c>
      <c r="K8" s="5">
        <f>Assumptions!J24</f>
        <v>3741249.9999999995</v>
      </c>
      <c r="L8" s="5">
        <f>Assumptions!K24</f>
        <v>3834781.2499999991</v>
      </c>
      <c r="M8" s="5">
        <f>Assumptions!L24</f>
        <v>3930650.7812499986</v>
      </c>
      <c r="N8" s="52">
        <f>Assumptions!M24</f>
        <v>4028917.0507812481</v>
      </c>
      <c r="O8" s="86"/>
    </row>
    <row r="9" spans="2:15" ht="17" thickBot="1" x14ac:dyDescent="0.25">
      <c r="C9" s="85"/>
      <c r="D9" s="103" t="s">
        <v>95</v>
      </c>
      <c r="E9" s="4"/>
      <c r="F9" s="49">
        <f>Assumptions!D25</f>
        <v>280000</v>
      </c>
      <c r="G9" s="49">
        <f>Assumptions!F25</f>
        <v>360000</v>
      </c>
      <c r="H9" s="49">
        <f>Assumptions!G25</f>
        <v>430000</v>
      </c>
      <c r="I9" s="49">
        <f>Assumptions!H25</f>
        <v>480000</v>
      </c>
      <c r="J9" s="49">
        <f>Assumptions!I25</f>
        <v>530000</v>
      </c>
      <c r="K9" s="49">
        <f>Assumptions!J25</f>
        <v>543250</v>
      </c>
      <c r="L9" s="49">
        <f>Assumptions!K25</f>
        <v>556831.25</v>
      </c>
      <c r="M9" s="49">
        <f>Assumptions!L25</f>
        <v>570752.03125</v>
      </c>
      <c r="N9" s="92">
        <f>Assumptions!M25</f>
        <v>585020.83203125</v>
      </c>
      <c r="O9" s="86"/>
    </row>
    <row r="10" spans="2:15" ht="17" thickBot="1" x14ac:dyDescent="0.25">
      <c r="C10" s="85"/>
      <c r="D10" s="104" t="s">
        <v>96</v>
      </c>
      <c r="E10" s="105"/>
      <c r="F10" s="90">
        <f t="shared" ref="F10:N10" si="0">SUM(F8:F9)</f>
        <v>1930000</v>
      </c>
      <c r="G10" s="90">
        <f t="shared" si="0"/>
        <v>2610000</v>
      </c>
      <c r="H10" s="90">
        <f t="shared" si="0"/>
        <v>3230000</v>
      </c>
      <c r="I10" s="90">
        <f t="shared" si="0"/>
        <v>3830000</v>
      </c>
      <c r="J10" s="90">
        <f t="shared" si="0"/>
        <v>4180000</v>
      </c>
      <c r="K10" s="90">
        <f t="shared" si="0"/>
        <v>4284500</v>
      </c>
      <c r="L10" s="90">
        <f t="shared" si="0"/>
        <v>4391612.4999999991</v>
      </c>
      <c r="M10" s="90">
        <f t="shared" si="0"/>
        <v>4501402.8124999981</v>
      </c>
      <c r="N10" s="106">
        <f t="shared" si="0"/>
        <v>4613937.8828124981</v>
      </c>
      <c r="O10" s="86"/>
    </row>
    <row r="11" spans="2:15" ht="17" thickBot="1" x14ac:dyDescent="0.25">
      <c r="C11" s="85"/>
      <c r="D11" s="99" t="s">
        <v>97</v>
      </c>
      <c r="E11" s="100"/>
      <c r="F11" s="101"/>
      <c r="G11" s="101"/>
      <c r="H11" s="101"/>
      <c r="I11" s="101"/>
      <c r="J11" s="101"/>
      <c r="K11" s="101"/>
      <c r="L11" s="101"/>
      <c r="M11" s="101"/>
      <c r="N11" s="102"/>
      <c r="O11" s="86"/>
    </row>
    <row r="12" spans="2:15" ht="16" x14ac:dyDescent="0.2">
      <c r="C12" s="85"/>
      <c r="D12" s="65" t="s">
        <v>41</v>
      </c>
      <c r="E12" s="3"/>
      <c r="F12" s="5">
        <f>-Assumptions!D26</f>
        <v>-460000</v>
      </c>
      <c r="G12" s="5">
        <f>-Assumptions!F26</f>
        <v>-620000</v>
      </c>
      <c r="H12" s="5">
        <f>-Assumptions!G26</f>
        <v>-760000</v>
      </c>
      <c r="I12" s="5">
        <f>-Assumptions!H26</f>
        <v>-900000</v>
      </c>
      <c r="J12" s="5">
        <f>-Assumptions!I26</f>
        <v>-990000</v>
      </c>
      <c r="K12" s="5">
        <f>-Assumptions!J26</f>
        <v>-1014749.9999999999</v>
      </c>
      <c r="L12" s="5">
        <f>-Assumptions!K26</f>
        <v>-1040118.7499999998</v>
      </c>
      <c r="M12" s="5">
        <f>-Assumptions!L26</f>
        <v>-1066121.7187499998</v>
      </c>
      <c r="N12" s="52">
        <f>-Assumptions!M26</f>
        <v>-1092774.7617187498</v>
      </c>
      <c r="O12" s="86"/>
    </row>
    <row r="13" spans="2:15" ht="16" x14ac:dyDescent="0.2">
      <c r="C13" s="85"/>
      <c r="D13" s="64" t="s">
        <v>42</v>
      </c>
      <c r="E13" s="3"/>
      <c r="F13" s="5">
        <f>-Assumptions!D27</f>
        <v>-75000</v>
      </c>
      <c r="G13" s="5">
        <f>-Assumptions!F27</f>
        <v>-93000</v>
      </c>
      <c r="H13" s="5">
        <f>-Assumptions!G27</f>
        <v>-110000</v>
      </c>
      <c r="I13" s="5">
        <f>-Assumptions!H27</f>
        <v>-125000</v>
      </c>
      <c r="J13" s="5">
        <f>-Assumptions!I27</f>
        <v>-138000</v>
      </c>
      <c r="K13" s="5">
        <f>-Assumptions!J27</f>
        <v>-141450</v>
      </c>
      <c r="L13" s="5">
        <f>-Assumptions!K27</f>
        <v>-144986.25</v>
      </c>
      <c r="M13" s="5">
        <f>-Assumptions!L27</f>
        <v>-148610.90625</v>
      </c>
      <c r="N13" s="52">
        <f>-Assumptions!M27</f>
        <v>-152326.17890624999</v>
      </c>
      <c r="O13" s="86"/>
    </row>
    <row r="14" spans="2:15" ht="16" x14ac:dyDescent="0.2">
      <c r="C14" s="85"/>
      <c r="D14" s="64" t="s">
        <v>98</v>
      </c>
      <c r="E14" s="3"/>
      <c r="F14" s="5">
        <f>-Assumptions!D28*(1-Assumptions!$D$15)</f>
        <v>-269010</v>
      </c>
      <c r="G14" s="5">
        <f>-Assumptions!F28*(1-Assumptions!$D$15)</f>
        <v>-361620</v>
      </c>
      <c r="H14" s="5">
        <f>-Assumptions!G28*(1-Assumptions!$D$15)</f>
        <v>-418950</v>
      </c>
      <c r="I14" s="5">
        <f>-Assumptions!H28*(1-Assumptions!$D$15)</f>
        <v>-467459.99999999994</v>
      </c>
      <c r="J14" s="5">
        <f>-Assumptions!I28*(1-Assumptions!$D$15)</f>
        <v>-524790</v>
      </c>
      <c r="K14" s="5">
        <f>-Assumptions!J28*(1-Assumptions!$D$15)</f>
        <v>-537909.74999999988</v>
      </c>
      <c r="L14" s="5">
        <f>-Assumptions!K28*(1-Assumptions!$D$15)</f>
        <v>-551357.49374999979</v>
      </c>
      <c r="M14" s="5">
        <f>-Assumptions!L28*(1-Assumptions!$D$15)</f>
        <v>-565141.43109374971</v>
      </c>
      <c r="N14" s="52">
        <f>-Assumptions!M28*(1-Assumptions!$D$15)</f>
        <v>-579269.96687109338</v>
      </c>
      <c r="O14" s="86"/>
    </row>
    <row r="15" spans="2:15" ht="16" x14ac:dyDescent="0.2">
      <c r="C15" s="85"/>
      <c r="D15" s="64" t="s">
        <v>44</v>
      </c>
      <c r="E15" s="3"/>
      <c r="F15" s="5">
        <f>-Assumptions!D29</f>
        <v>-225000</v>
      </c>
      <c r="G15" s="5">
        <f>-Assumptions!F29</f>
        <v>-232874.99999999997</v>
      </c>
      <c r="H15" s="5">
        <f>-Assumptions!G29</f>
        <v>-241025.62499999994</v>
      </c>
      <c r="I15" s="5">
        <f>-Assumptions!H29</f>
        <v>-249461.52187499992</v>
      </c>
      <c r="J15" s="5">
        <f>-Assumptions!I29</f>
        <v>-258192.67514062489</v>
      </c>
      <c r="K15" s="5">
        <f>-Assumptions!J29</f>
        <v>-264647.49201914051</v>
      </c>
      <c r="L15" s="5">
        <f>-Assumptions!K29</f>
        <v>-271263.67931961903</v>
      </c>
      <c r="M15" s="5">
        <f>-Assumptions!L29</f>
        <v>-278045.27130260947</v>
      </c>
      <c r="N15" s="52">
        <f>-Assumptions!M29</f>
        <v>-284996.40308517468</v>
      </c>
      <c r="O15" s="86"/>
    </row>
    <row r="16" spans="2:15" ht="16" x14ac:dyDescent="0.2">
      <c r="C16" s="85"/>
      <c r="D16" s="64" t="s">
        <v>16</v>
      </c>
      <c r="E16" s="3"/>
      <c r="F16" s="5">
        <f>-F10*Assumptions!$D$14</f>
        <v>-347400</v>
      </c>
      <c r="G16" s="5">
        <f>-G10*Assumptions!$D$14</f>
        <v>-469800</v>
      </c>
      <c r="H16" s="5">
        <f>-H10*Assumptions!$D$14</f>
        <v>-581400</v>
      </c>
      <c r="I16" s="5">
        <f>-I10*Assumptions!$D$14</f>
        <v>-689400</v>
      </c>
      <c r="J16" s="5">
        <f>-J10*Assumptions!$D$14</f>
        <v>-752400</v>
      </c>
      <c r="K16" s="5">
        <f>-K10*Assumptions!$D$14</f>
        <v>-771210</v>
      </c>
      <c r="L16" s="5">
        <f>-L10*Assumptions!$D$14</f>
        <v>-790490.24999999977</v>
      </c>
      <c r="M16" s="5">
        <f>-M10*Assumptions!$D$14</f>
        <v>-810252.50624999963</v>
      </c>
      <c r="N16" s="52">
        <f>-N10*Assumptions!$D$14</f>
        <v>-830508.81890624959</v>
      </c>
      <c r="O16" s="86"/>
    </row>
    <row r="17" spans="3:15" ht="16" x14ac:dyDescent="0.2">
      <c r="C17" s="85"/>
      <c r="D17" s="64" t="s">
        <v>45</v>
      </c>
      <c r="E17" s="3"/>
      <c r="F17" s="5">
        <f>-Assumptions!D30</f>
        <v>-410000</v>
      </c>
      <c r="G17" s="5">
        <f>-Assumptions!F30</f>
        <v>-410000</v>
      </c>
      <c r="H17" s="5">
        <f>-Assumptions!G30</f>
        <v>-280000</v>
      </c>
      <c r="I17" s="5">
        <f>-Assumptions!H30</f>
        <v>-210000</v>
      </c>
      <c r="J17" s="5">
        <f>-Assumptions!I30</f>
        <v>-180000</v>
      </c>
      <c r="K17" s="5">
        <f>-Assumptions!J30</f>
        <v>-180000</v>
      </c>
      <c r="L17" s="5">
        <f>-Assumptions!K30</f>
        <v>-180000</v>
      </c>
      <c r="M17" s="5">
        <f>-Assumptions!L30</f>
        <v>-180000</v>
      </c>
      <c r="N17" s="52">
        <f>-Assumptions!M30</f>
        <v>-180000</v>
      </c>
      <c r="O17" s="86"/>
    </row>
    <row r="18" spans="3:15" ht="16" x14ac:dyDescent="0.2">
      <c r="C18" s="85"/>
      <c r="D18" s="64" t="s">
        <v>46</v>
      </c>
      <c r="E18" s="3"/>
      <c r="F18" s="5">
        <f>-Assumptions!D31</f>
        <v>0</v>
      </c>
      <c r="G18" s="5">
        <f>-Assumptions!F31</f>
        <v>0</v>
      </c>
      <c r="H18" s="5">
        <f>-Assumptions!G31</f>
        <v>-19000</v>
      </c>
      <c r="I18" s="5">
        <f>-Assumptions!H31</f>
        <v>-35000</v>
      </c>
      <c r="J18" s="5">
        <f>-Assumptions!I31</f>
        <v>-52000</v>
      </c>
      <c r="K18" s="5">
        <f>-Assumptions!J31</f>
        <v>-53299.999999999993</v>
      </c>
      <c r="L18" s="5">
        <f>-Assumptions!K31</f>
        <v>-54632.499999999985</v>
      </c>
      <c r="M18" s="5">
        <f>-Assumptions!L31</f>
        <v>-55998.312499999978</v>
      </c>
      <c r="N18" s="52">
        <f>-Assumptions!M31</f>
        <v>-57398.270312499975</v>
      </c>
      <c r="O18" s="86"/>
    </row>
    <row r="19" spans="3:15" ht="16" x14ac:dyDescent="0.2">
      <c r="C19" s="85"/>
      <c r="D19" s="64" t="s">
        <v>99</v>
      </c>
      <c r="E19" s="3"/>
      <c r="F19" s="5">
        <f t="shared" ref="F19:N19" si="1">SUM(F12:F18)</f>
        <v>-1786410</v>
      </c>
      <c r="G19" s="5">
        <f t="shared" si="1"/>
        <v>-2187295</v>
      </c>
      <c r="H19" s="5">
        <f t="shared" si="1"/>
        <v>-2410375.625</v>
      </c>
      <c r="I19" s="5">
        <f t="shared" si="1"/>
        <v>-2676321.5218749996</v>
      </c>
      <c r="J19" s="5">
        <f t="shared" si="1"/>
        <v>-2895382.6751406249</v>
      </c>
      <c r="K19" s="5">
        <f t="shared" si="1"/>
        <v>-2963267.2420191406</v>
      </c>
      <c r="L19" s="5">
        <f t="shared" si="1"/>
        <v>-3032848.9230696182</v>
      </c>
      <c r="M19" s="5">
        <f t="shared" si="1"/>
        <v>-3104170.1461463589</v>
      </c>
      <c r="N19" s="52">
        <f t="shared" si="1"/>
        <v>-3177274.3998000175</v>
      </c>
      <c r="O19" s="86"/>
    </row>
    <row r="20" spans="3:15" ht="16" x14ac:dyDescent="0.2">
      <c r="C20" s="85"/>
      <c r="D20" s="64" t="s">
        <v>100</v>
      </c>
      <c r="E20" s="3"/>
      <c r="F20" s="5">
        <f t="shared" ref="F20:N20" si="2">F10+F19</f>
        <v>143590</v>
      </c>
      <c r="G20" s="5">
        <f t="shared" si="2"/>
        <v>422705</v>
      </c>
      <c r="H20" s="5">
        <f t="shared" si="2"/>
        <v>819624.375</v>
      </c>
      <c r="I20" s="5">
        <f t="shared" si="2"/>
        <v>1153678.4781250004</v>
      </c>
      <c r="J20" s="5">
        <f t="shared" si="2"/>
        <v>1284617.3248593751</v>
      </c>
      <c r="K20" s="5">
        <f t="shared" si="2"/>
        <v>1321232.7579808594</v>
      </c>
      <c r="L20" s="5">
        <f t="shared" si="2"/>
        <v>1358763.5769303809</v>
      </c>
      <c r="M20" s="5">
        <f t="shared" si="2"/>
        <v>1397232.6663536392</v>
      </c>
      <c r="N20" s="52">
        <f t="shared" si="2"/>
        <v>1436663.4830124807</v>
      </c>
      <c r="O20" s="86"/>
    </row>
    <row r="21" spans="3:15" ht="16" x14ac:dyDescent="0.2">
      <c r="C21" s="85"/>
      <c r="D21" s="64" t="s">
        <v>101</v>
      </c>
      <c r="E21" s="3"/>
      <c r="F21" s="5">
        <f>'Tax Depreciation'!D20</f>
        <v>-126250</v>
      </c>
      <c r="G21" s="5">
        <f>'Tax Depreciation'!E20</f>
        <v>-126250</v>
      </c>
      <c r="H21" s="5">
        <f>'Tax Depreciation'!F20</f>
        <v>-126250</v>
      </c>
      <c r="I21" s="5">
        <f>'Tax Depreciation'!G20</f>
        <v>-126250</v>
      </c>
      <c r="J21" s="5">
        <f>'Tax Depreciation'!H20</f>
        <v>-126250</v>
      </c>
      <c r="K21" s="5">
        <f>'Tax Depreciation'!I20</f>
        <v>-126250</v>
      </c>
      <c r="L21" s="5">
        <f>'Tax Depreciation'!J20</f>
        <v>-126250</v>
      </c>
      <c r="M21" s="5">
        <f>'Tax Depreciation'!K20</f>
        <v>-126250</v>
      </c>
      <c r="N21" s="52">
        <f>'Tax Depreciation'!L20</f>
        <v>-126250</v>
      </c>
      <c r="O21" s="86"/>
    </row>
    <row r="22" spans="3:15" ht="16" x14ac:dyDescent="0.2">
      <c r="C22" s="85"/>
      <c r="D22" s="64" t="s">
        <v>102</v>
      </c>
      <c r="E22" s="3"/>
      <c r="F22" s="5">
        <f t="shared" ref="F22:N22" si="3">F20+F21</f>
        <v>17340</v>
      </c>
      <c r="G22" s="5">
        <f t="shared" si="3"/>
        <v>296455</v>
      </c>
      <c r="H22" s="5">
        <f t="shared" si="3"/>
        <v>693374.375</v>
      </c>
      <c r="I22" s="5">
        <f t="shared" si="3"/>
        <v>1027428.4781250004</v>
      </c>
      <c r="J22" s="5">
        <f t="shared" si="3"/>
        <v>1158367.3248593751</v>
      </c>
      <c r="K22" s="5">
        <f t="shared" si="3"/>
        <v>1194982.7579808594</v>
      </c>
      <c r="L22" s="5">
        <f t="shared" si="3"/>
        <v>1232513.5769303809</v>
      </c>
      <c r="M22" s="5">
        <f t="shared" si="3"/>
        <v>1270982.6663536392</v>
      </c>
      <c r="N22" s="52">
        <f t="shared" si="3"/>
        <v>1310413.4830124807</v>
      </c>
      <c r="O22" s="86"/>
    </row>
    <row r="23" spans="3:15" ht="16" x14ac:dyDescent="0.2">
      <c r="C23" s="85"/>
      <c r="D23" s="64" t="s">
        <v>103</v>
      </c>
      <c r="E23" s="3"/>
      <c r="F23" s="5">
        <f>-F22*Assumptions!$D$10</f>
        <v>-5202</v>
      </c>
      <c r="G23" s="5">
        <f>-G22*Assumptions!$D$10</f>
        <v>-88936.5</v>
      </c>
      <c r="H23" s="5">
        <f>-H22*Assumptions!$D$10</f>
        <v>-208012.3125</v>
      </c>
      <c r="I23" s="5">
        <f>-I22*Assumptions!$D$10</f>
        <v>-308228.54343750008</v>
      </c>
      <c r="J23" s="5">
        <f>-J22*Assumptions!$D$10</f>
        <v>-347510.19745781255</v>
      </c>
      <c r="K23" s="5">
        <f>-K22*Assumptions!$D$10</f>
        <v>-358494.82739425782</v>
      </c>
      <c r="L23" s="5">
        <f>-L22*Assumptions!$D$10</f>
        <v>-369754.07307911426</v>
      </c>
      <c r="M23" s="5">
        <f>-M22*Assumptions!$D$10</f>
        <v>-381294.79990609176</v>
      </c>
      <c r="N23" s="52">
        <f>-N22*Assumptions!$D$10</f>
        <v>-393124.04490374419</v>
      </c>
      <c r="O23" s="86"/>
    </row>
    <row r="24" spans="3:15" ht="16" x14ac:dyDescent="0.2">
      <c r="C24" s="85"/>
      <c r="D24" s="64" t="s">
        <v>104</v>
      </c>
      <c r="E24" s="3"/>
      <c r="F24" s="5">
        <f t="shared" ref="F24:N24" si="4">F22+F23</f>
        <v>12138</v>
      </c>
      <c r="G24" s="5">
        <f t="shared" si="4"/>
        <v>207518.5</v>
      </c>
      <c r="H24" s="5">
        <f t="shared" si="4"/>
        <v>485362.0625</v>
      </c>
      <c r="I24" s="5">
        <f t="shared" si="4"/>
        <v>719199.93468750035</v>
      </c>
      <c r="J24" s="5">
        <f t="shared" si="4"/>
        <v>810857.12740156264</v>
      </c>
      <c r="K24" s="5">
        <f t="shared" si="4"/>
        <v>836487.93058660161</v>
      </c>
      <c r="L24" s="5">
        <f t="shared" si="4"/>
        <v>862759.50385126658</v>
      </c>
      <c r="M24" s="5">
        <f t="shared" si="4"/>
        <v>889687.86644754745</v>
      </c>
      <c r="N24" s="52">
        <f t="shared" si="4"/>
        <v>917289.43810873642</v>
      </c>
      <c r="O24" s="86"/>
    </row>
    <row r="25" spans="3:15" ht="17" thickBot="1" x14ac:dyDescent="0.25">
      <c r="C25" s="85"/>
      <c r="D25" s="103" t="s">
        <v>105</v>
      </c>
      <c r="E25" s="4"/>
      <c r="F25" s="49">
        <f t="shared" ref="F25:N25" si="5">-F21</f>
        <v>126250</v>
      </c>
      <c r="G25" s="49">
        <f t="shared" si="5"/>
        <v>126250</v>
      </c>
      <c r="H25" s="49">
        <f t="shared" si="5"/>
        <v>126250</v>
      </c>
      <c r="I25" s="49">
        <f t="shared" si="5"/>
        <v>126250</v>
      </c>
      <c r="J25" s="49">
        <f t="shared" si="5"/>
        <v>126250</v>
      </c>
      <c r="K25" s="49">
        <f t="shared" si="5"/>
        <v>126250</v>
      </c>
      <c r="L25" s="49">
        <f t="shared" si="5"/>
        <v>126250</v>
      </c>
      <c r="M25" s="49">
        <f t="shared" si="5"/>
        <v>126250</v>
      </c>
      <c r="N25" s="92">
        <f t="shared" si="5"/>
        <v>126250</v>
      </c>
      <c r="O25" s="86"/>
    </row>
    <row r="26" spans="3:15" ht="17" thickBot="1" x14ac:dyDescent="0.25">
      <c r="C26" s="85"/>
      <c r="D26" s="104" t="s">
        <v>106</v>
      </c>
      <c r="E26" s="105"/>
      <c r="F26" s="90">
        <f t="shared" ref="F26:N26" si="6">F24+F25</f>
        <v>138388</v>
      </c>
      <c r="G26" s="90">
        <f t="shared" si="6"/>
        <v>333768.5</v>
      </c>
      <c r="H26" s="90">
        <f t="shared" si="6"/>
        <v>611612.0625</v>
      </c>
      <c r="I26" s="90">
        <f t="shared" si="6"/>
        <v>845449.93468750035</v>
      </c>
      <c r="J26" s="90">
        <f t="shared" si="6"/>
        <v>937107.12740156264</v>
      </c>
      <c r="K26" s="90">
        <f t="shared" si="6"/>
        <v>962737.93058660161</v>
      </c>
      <c r="L26" s="90">
        <f t="shared" si="6"/>
        <v>989009.50385126658</v>
      </c>
      <c r="M26" s="90">
        <f t="shared" si="6"/>
        <v>1015937.8664475475</v>
      </c>
      <c r="N26" s="106">
        <f t="shared" si="6"/>
        <v>1043539.4381087364</v>
      </c>
      <c r="O26" s="86"/>
    </row>
    <row r="27" spans="3:15" ht="17" thickBot="1" x14ac:dyDescent="0.25">
      <c r="C27" s="85"/>
      <c r="D27" s="99" t="s">
        <v>107</v>
      </c>
      <c r="E27" s="115"/>
      <c r="F27" s="101"/>
      <c r="G27" s="101"/>
      <c r="H27" s="101"/>
      <c r="I27" s="101"/>
      <c r="J27" s="101"/>
      <c r="K27" s="101"/>
      <c r="L27" s="101"/>
      <c r="M27" s="101"/>
      <c r="N27" s="102"/>
      <c r="O27" s="86"/>
    </row>
    <row r="28" spans="3:15" ht="17" thickBot="1" x14ac:dyDescent="0.25">
      <c r="C28" s="85"/>
      <c r="D28" s="113" t="s">
        <v>108</v>
      </c>
      <c r="E28" s="116">
        <f>'Initial Investment'!$J$24</f>
        <v>-1776500</v>
      </c>
      <c r="F28" s="114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2">
        <v>0</v>
      </c>
      <c r="O28" s="86"/>
    </row>
    <row r="29" spans="3:15" ht="16" x14ac:dyDescent="0.2">
      <c r="C29" s="85"/>
      <c r="D29" s="64" t="s">
        <v>109</v>
      </c>
      <c r="E29" s="42"/>
      <c r="F29" s="5">
        <f>'Working Capital'!H23</f>
        <v>-212000</v>
      </c>
      <c r="G29" s="5">
        <f>'Working Capital'!I23</f>
        <v>-66000</v>
      </c>
      <c r="H29" s="5">
        <f>'Working Capital'!J23</f>
        <v>-77000</v>
      </c>
      <c r="I29" s="5">
        <f>'Working Capital'!K23</f>
        <v>-63000</v>
      </c>
      <c r="J29" s="5">
        <f>'Working Capital'!L23</f>
        <v>-37000</v>
      </c>
      <c r="K29" s="5">
        <f>'Working Capital'!M23</f>
        <v>-11375</v>
      </c>
      <c r="L29" s="5">
        <f>'Working Capital'!N23</f>
        <v>-11659.374999999884</v>
      </c>
      <c r="M29" s="5">
        <f>'Working Capital'!O23</f>
        <v>-11950.859374999884</v>
      </c>
      <c r="N29" s="52">
        <f>'Working Capital'!P23</f>
        <v>-12249.630859375</v>
      </c>
      <c r="O29" s="86"/>
    </row>
    <row r="30" spans="3:15" ht="16" x14ac:dyDescent="0.2">
      <c r="C30" s="85"/>
      <c r="D30" s="64" t="s">
        <v>110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107">
        <f>'Tax Depreciation'!$D$29</f>
        <v>281625</v>
      </c>
      <c r="O30" s="86"/>
    </row>
    <row r="31" spans="3:15" ht="17" thickBot="1" x14ac:dyDescent="0.25">
      <c r="C31" s="85"/>
      <c r="D31" s="77" t="s">
        <v>111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4">
        <v>0</v>
      </c>
      <c r="M31" s="54">
        <v>0</v>
      </c>
      <c r="N31" s="108">
        <f>'Working Capital'!$G$24</f>
        <v>697234.86523437477</v>
      </c>
      <c r="O31" s="86"/>
    </row>
    <row r="32" spans="3:15" ht="17" thickBot="1" x14ac:dyDescent="0.25">
      <c r="C32" s="85"/>
      <c r="D32" s="110" t="s">
        <v>112</v>
      </c>
      <c r="E32" s="90">
        <f>SUM(E28:E31)</f>
        <v>-1776500</v>
      </c>
      <c r="F32" s="90">
        <f t="shared" ref="F32:N32" si="7">F26+SUM(F28:F31)</f>
        <v>-73612</v>
      </c>
      <c r="G32" s="90">
        <f t="shared" si="7"/>
        <v>267768.5</v>
      </c>
      <c r="H32" s="90">
        <f t="shared" si="7"/>
        <v>534612.0625</v>
      </c>
      <c r="I32" s="90">
        <f t="shared" si="7"/>
        <v>782449.93468750035</v>
      </c>
      <c r="J32" s="90">
        <f t="shared" si="7"/>
        <v>900107.12740156264</v>
      </c>
      <c r="K32" s="90">
        <f t="shared" si="7"/>
        <v>951362.93058660161</v>
      </c>
      <c r="L32" s="90">
        <f t="shared" si="7"/>
        <v>977350.12885126669</v>
      </c>
      <c r="M32" s="90">
        <f t="shared" si="7"/>
        <v>1003987.0070725476</v>
      </c>
      <c r="N32" s="106">
        <f t="shared" si="7"/>
        <v>2010149.6724837362</v>
      </c>
      <c r="O32" s="86"/>
    </row>
    <row r="33" spans="3:15" ht="16" x14ac:dyDescent="0.2">
      <c r="C33" s="85"/>
      <c r="D33" s="65" t="s">
        <v>113</v>
      </c>
      <c r="E33" s="109">
        <f>1/(1+Assumptions!$D$9)^0</f>
        <v>1</v>
      </c>
      <c r="F33" s="109">
        <f>1/(1+Assumptions!$D$9)^1</f>
        <v>0.84745762711864414</v>
      </c>
      <c r="G33" s="109">
        <f>1/(1+Assumptions!$D$9)^2</f>
        <v>0.71818442976156283</v>
      </c>
      <c r="H33" s="109">
        <f>1/(1+Assumptions!$D$9)^3</f>
        <v>0.6086308726792905</v>
      </c>
      <c r="I33" s="109">
        <f>1/(1+Assumptions!$D$9)^4</f>
        <v>0.51578887515194116</v>
      </c>
      <c r="J33" s="109">
        <f>1/(1+Assumptions!$D$9)^5</f>
        <v>0.43710921623045873</v>
      </c>
      <c r="K33" s="109">
        <f>1/(1+Assumptions!$D$9)^6</f>
        <v>0.37043153917835481</v>
      </c>
      <c r="L33" s="109">
        <f>1/(1+Assumptions!$D$9)^7</f>
        <v>0.31392503320199561</v>
      </c>
      <c r="M33" s="109">
        <f>1/(1+Assumptions!$D$9)^8</f>
        <v>0.26603816373050476</v>
      </c>
      <c r="N33" s="111">
        <f>1/(1+Assumptions!$D$9)^9</f>
        <v>0.22545607095805489</v>
      </c>
      <c r="O33" s="86"/>
    </row>
    <row r="34" spans="3:15" ht="16" x14ac:dyDescent="0.2">
      <c r="C34" s="85"/>
      <c r="D34" s="64" t="s">
        <v>114</v>
      </c>
      <c r="E34" s="5">
        <f t="shared" ref="E34:N34" si="8">E32*E33</f>
        <v>-1776500</v>
      </c>
      <c r="F34" s="5">
        <f t="shared" si="8"/>
        <v>-62383.050847457635</v>
      </c>
      <c r="G34" s="5">
        <f t="shared" si="8"/>
        <v>192307.16748060903</v>
      </c>
      <c r="H34" s="5">
        <f t="shared" si="8"/>
        <v>325381.40614425042</v>
      </c>
      <c r="I34" s="5">
        <f t="shared" si="8"/>
        <v>403578.97167517565</v>
      </c>
      <c r="J34" s="5">
        <f t="shared" si="8"/>
        <v>393445.1209819467</v>
      </c>
      <c r="K34" s="5">
        <f t="shared" si="8"/>
        <v>352414.83469442517</v>
      </c>
      <c r="L34" s="5">
        <f t="shared" si="8"/>
        <v>306814.67164960859</v>
      </c>
      <c r="M34" s="5">
        <f t="shared" si="8"/>
        <v>267098.85977086588</v>
      </c>
      <c r="N34" s="52">
        <f t="shared" si="8"/>
        <v>453200.44719580404</v>
      </c>
      <c r="O34" s="86"/>
    </row>
    <row r="35" spans="3:15" ht="16" x14ac:dyDescent="0.2">
      <c r="C35" s="85"/>
      <c r="D35" s="64" t="s">
        <v>115</v>
      </c>
      <c r="E35" s="5">
        <f>E32</f>
        <v>-1776500</v>
      </c>
      <c r="F35" s="5">
        <f t="shared" ref="F35:N35" si="9">E35+F32</f>
        <v>-1850112</v>
      </c>
      <c r="G35" s="5">
        <f t="shared" si="9"/>
        <v>-1582343.5</v>
      </c>
      <c r="H35" s="5">
        <f t="shared" si="9"/>
        <v>-1047731.4375</v>
      </c>
      <c r="I35" s="5">
        <f t="shared" si="9"/>
        <v>-265281.50281249965</v>
      </c>
      <c r="J35" s="5">
        <f t="shared" si="9"/>
        <v>634825.62458906299</v>
      </c>
      <c r="K35" s="5">
        <f t="shared" si="9"/>
        <v>1586188.5551756646</v>
      </c>
      <c r="L35" s="5">
        <f t="shared" si="9"/>
        <v>2563538.6840269314</v>
      </c>
      <c r="M35" s="5">
        <f t="shared" si="9"/>
        <v>3567525.6910994789</v>
      </c>
      <c r="N35" s="52">
        <f t="shared" si="9"/>
        <v>5577675.3635832146</v>
      </c>
      <c r="O35" s="86"/>
    </row>
    <row r="36" spans="3:15" ht="17" thickBot="1" x14ac:dyDescent="0.25">
      <c r="C36" s="85"/>
      <c r="D36" s="77" t="s">
        <v>116</v>
      </c>
      <c r="E36" s="54">
        <f>E34</f>
        <v>-1776500</v>
      </c>
      <c r="F36" s="54">
        <f t="shared" ref="F36:N36" si="10">E36+F34</f>
        <v>-1838883.0508474577</v>
      </c>
      <c r="G36" s="54">
        <f t="shared" si="10"/>
        <v>-1646575.8833668488</v>
      </c>
      <c r="H36" s="54">
        <f t="shared" si="10"/>
        <v>-1321194.4772225984</v>
      </c>
      <c r="I36" s="54">
        <f t="shared" si="10"/>
        <v>-917615.50554742268</v>
      </c>
      <c r="J36" s="54">
        <f t="shared" si="10"/>
        <v>-524170.38456547598</v>
      </c>
      <c r="K36" s="54">
        <f t="shared" si="10"/>
        <v>-171755.54987105081</v>
      </c>
      <c r="L36" s="54">
        <f t="shared" si="10"/>
        <v>135059.12177855778</v>
      </c>
      <c r="M36" s="54">
        <f t="shared" si="10"/>
        <v>402157.98154942365</v>
      </c>
      <c r="N36" s="55">
        <f t="shared" si="10"/>
        <v>855358.42874522763</v>
      </c>
      <c r="O36" s="86"/>
    </row>
    <row r="37" spans="3:15" ht="16" x14ac:dyDescent="0.2">
      <c r="C37" s="8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86"/>
    </row>
    <row r="38" spans="3:15" ht="33" customHeight="1" x14ac:dyDescent="0.2">
      <c r="C38" s="85"/>
      <c r="D38" s="150" t="s">
        <v>117</v>
      </c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86"/>
    </row>
    <row r="39" spans="3:15" x14ac:dyDescent="0.2">
      <c r="C39" s="85"/>
      <c r="O39" s="86"/>
    </row>
    <row r="40" spans="3:15" ht="16" thickBot="1" x14ac:dyDescent="0.25">
      <c r="C40" s="87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9"/>
    </row>
  </sheetData>
  <mergeCells count="3">
    <mergeCell ref="D38:N38"/>
    <mergeCell ref="D3:N3"/>
    <mergeCell ref="D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H13:S31"/>
  <sheetViews>
    <sheetView showGridLines="0" zoomScaleNormal="100" workbookViewId="0">
      <selection activeCell="I35" sqref="I35"/>
    </sheetView>
  </sheetViews>
  <sheetFormatPr baseColWidth="10" defaultColWidth="8.6640625" defaultRowHeight="15" x14ac:dyDescent="0.2"/>
  <cols>
    <col min="9" max="9" width="40" customWidth="1"/>
    <col min="10" max="10" width="18" customWidth="1"/>
    <col min="11" max="11" width="58.83203125" bestFit="1" customWidth="1"/>
  </cols>
  <sheetData>
    <row r="13" spans="8:19" ht="16" thickBot="1" x14ac:dyDescent="0.25"/>
    <row r="14" spans="8:19" x14ac:dyDescent="0.2">
      <c r="H14" s="82"/>
      <c r="I14" s="83"/>
      <c r="J14" s="83"/>
      <c r="K14" s="83"/>
      <c r="L14" s="84"/>
    </row>
    <row r="15" spans="8:19" ht="24" customHeight="1" x14ac:dyDescent="0.2">
      <c r="H15" s="85"/>
      <c r="I15" s="144" t="s">
        <v>150</v>
      </c>
      <c r="J15" s="145"/>
      <c r="K15" s="145"/>
      <c r="L15" s="127"/>
      <c r="M15" s="117"/>
      <c r="N15" s="117"/>
      <c r="O15" s="117"/>
      <c r="P15" s="117"/>
      <c r="Q15" s="117"/>
      <c r="R15" s="117"/>
      <c r="S15" s="117"/>
    </row>
    <row r="16" spans="8:19" ht="16" x14ac:dyDescent="0.2">
      <c r="H16" s="85"/>
      <c r="I16" s="151" t="s">
        <v>118</v>
      </c>
      <c r="J16" s="151"/>
      <c r="K16" s="151"/>
      <c r="L16" s="86"/>
    </row>
    <row r="17" spans="8:12" ht="17" thickBot="1" x14ac:dyDescent="0.25">
      <c r="H17" s="85"/>
      <c r="I17" s="1"/>
      <c r="J17" s="1"/>
      <c r="K17" s="1"/>
      <c r="L17" s="86"/>
    </row>
    <row r="18" spans="8:12" ht="17" thickBot="1" x14ac:dyDescent="0.25">
      <c r="H18" s="85"/>
      <c r="I18" s="66" t="s">
        <v>119</v>
      </c>
      <c r="J18" s="67" t="s">
        <v>120</v>
      </c>
      <c r="K18" s="68" t="s">
        <v>121</v>
      </c>
      <c r="L18" s="86"/>
    </row>
    <row r="19" spans="8:12" ht="16" x14ac:dyDescent="0.2">
      <c r="H19" s="85"/>
      <c r="I19" s="65" t="s">
        <v>122</v>
      </c>
      <c r="J19" s="124">
        <f>NPV(Assumptions!$D$9,'Cash Flow Model'!F32:N32)+'Cash Flow Model'!E32</f>
        <v>855358.4287452274</v>
      </c>
      <c r="K19" s="125" t="s">
        <v>123</v>
      </c>
      <c r="L19" s="86"/>
    </row>
    <row r="20" spans="8:12" ht="16" x14ac:dyDescent="0.2">
      <c r="H20" s="85"/>
      <c r="I20" s="64" t="s">
        <v>124</v>
      </c>
      <c r="J20" s="118">
        <f>IRR('Cash Flow Model'!E32:N32)</f>
        <v>0.26452635721881279</v>
      </c>
      <c r="K20" s="121" t="s">
        <v>125</v>
      </c>
      <c r="L20" s="86"/>
    </row>
    <row r="21" spans="8:12" ht="16" x14ac:dyDescent="0.2">
      <c r="H21" s="85"/>
      <c r="I21" s="64" t="s">
        <v>126</v>
      </c>
      <c r="J21" s="119">
        <f>NPV(Assumptions!$D$9,'Cash Flow Model'!F32:N32)/-'Cash Flow Model'!E32</f>
        <v>1.4814851836449352</v>
      </c>
      <c r="K21" s="121" t="s">
        <v>127</v>
      </c>
      <c r="L21" s="86"/>
    </row>
    <row r="22" spans="8:12" ht="16" x14ac:dyDescent="0.2">
      <c r="H22" s="85"/>
      <c r="I22" s="64" t="s">
        <v>128</v>
      </c>
      <c r="J22" s="120" cm="1">
        <f t="array" ref="J22">COUNTIF('Cash Flow Model'!F35:N35,"&lt;0")+(-INDEX('Cash Flow Model'!F35:N35,1,COUNTIF('Cash Flow Model'!F35:N35,"&lt;0"))/INDEX('Cash Flow Model'!F32:N32,1,COUNTIF('Cash Flow Model'!F35:N35,"&lt;0")+1))</f>
        <v>4.2947221444388699</v>
      </c>
      <c r="K22" s="121" t="s">
        <v>129</v>
      </c>
      <c r="L22" s="86"/>
    </row>
    <row r="23" spans="8:12" ht="17" thickBot="1" x14ac:dyDescent="0.25">
      <c r="H23" s="85"/>
      <c r="I23" s="77" t="s">
        <v>130</v>
      </c>
      <c r="J23" s="122">
        <f>COUNTIF('Cash Flow Model'!F36:N36,"&lt;0")+(-INDEX('Cash Flow Model'!F36:N36,COUNTIF('Cash Flow Model'!F36:N36,"&lt;0"))/INDEX('Cash Flow Model'!F34:N34,COUNTIF('Cash Flow Model'!F36:N36,"&lt;0")+1))</f>
        <v>6.5598022706919332</v>
      </c>
      <c r="K23" s="123" t="s">
        <v>131</v>
      </c>
      <c r="L23" s="86"/>
    </row>
    <row r="24" spans="8:12" ht="17" thickBot="1" x14ac:dyDescent="0.25">
      <c r="H24" s="85"/>
      <c r="I24" s="1"/>
      <c r="J24" s="1"/>
      <c r="K24" s="1"/>
      <c r="L24" s="86"/>
    </row>
    <row r="25" spans="8:12" ht="17" thickBot="1" x14ac:dyDescent="0.25">
      <c r="H25" s="85"/>
      <c r="I25" s="126" t="s">
        <v>132</v>
      </c>
      <c r="J25" s="27" t="s">
        <v>57</v>
      </c>
      <c r="K25" s="37" t="s">
        <v>141</v>
      </c>
      <c r="L25" s="86"/>
    </row>
    <row r="26" spans="8:12" ht="16" x14ac:dyDescent="0.2">
      <c r="H26" s="85"/>
      <c r="I26" s="65" t="s">
        <v>62</v>
      </c>
      <c r="J26" s="44">
        <f>'Initial Investment'!$J$22</f>
        <v>1805000</v>
      </c>
      <c r="K26" s="69" t="s">
        <v>133</v>
      </c>
      <c r="L26" s="86"/>
    </row>
    <row r="27" spans="8:12" ht="16" x14ac:dyDescent="0.2">
      <c r="H27" s="85"/>
      <c r="I27" s="64" t="s">
        <v>134</v>
      </c>
      <c r="J27" s="5">
        <f>'Cash Flow Model'!E32</f>
        <v>-1776500</v>
      </c>
      <c r="K27" s="70" t="s">
        <v>135</v>
      </c>
      <c r="L27" s="86"/>
    </row>
    <row r="28" spans="8:12" ht="16" x14ac:dyDescent="0.2">
      <c r="H28" s="85"/>
      <c r="I28" s="64" t="s">
        <v>136</v>
      </c>
      <c r="J28" s="5">
        <f>'Tax Depreciation'!$D$29</f>
        <v>281625</v>
      </c>
      <c r="K28" s="70" t="s">
        <v>137</v>
      </c>
      <c r="L28" s="86"/>
    </row>
    <row r="29" spans="8:12" ht="16" x14ac:dyDescent="0.2">
      <c r="H29" s="85"/>
      <c r="I29" s="64" t="s">
        <v>138</v>
      </c>
      <c r="J29" s="5">
        <f>'Working Capital'!$G$24</f>
        <v>697234.86523437477</v>
      </c>
      <c r="K29" s="70" t="s">
        <v>139</v>
      </c>
      <c r="L29" s="86"/>
    </row>
    <row r="30" spans="8:12" ht="17" thickBot="1" x14ac:dyDescent="0.25">
      <c r="H30" s="85"/>
      <c r="I30" s="77" t="s">
        <v>53</v>
      </c>
      <c r="J30" s="54">
        <f>Assumptions!$D$39</f>
        <v>332000</v>
      </c>
      <c r="K30" s="81" t="s">
        <v>140</v>
      </c>
      <c r="L30" s="86"/>
    </row>
    <row r="31" spans="8:12" ht="16" thickBot="1" x14ac:dyDescent="0.25">
      <c r="H31" s="87"/>
      <c r="I31" s="88"/>
      <c r="J31" s="88"/>
      <c r="K31" s="88"/>
      <c r="L31" s="89"/>
    </row>
  </sheetData>
  <mergeCells count="2">
    <mergeCell ref="I15:K15"/>
    <mergeCell ref="I16:K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Initial Investment</vt:lpstr>
      <vt:lpstr>Tax Depreciation</vt:lpstr>
      <vt:lpstr>Working Capital</vt:lpstr>
      <vt:lpstr>Cash Flow Model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Namesh Panneer Selvan .</cp:lastModifiedBy>
  <cp:revision>0</cp:revision>
  <dcterms:created xsi:type="dcterms:W3CDTF">2026-08-12T00:22:27Z</dcterms:created>
  <dcterms:modified xsi:type="dcterms:W3CDTF">2026-09-15T09:05:25Z</dcterms:modified>
  <dc:language>en-US</dc:language>
</cp:coreProperties>
</file>